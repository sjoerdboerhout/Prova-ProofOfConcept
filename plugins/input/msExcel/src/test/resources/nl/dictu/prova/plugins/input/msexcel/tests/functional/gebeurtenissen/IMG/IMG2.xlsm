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670" windowWidth="15840" windowHeight="5730" activeTab="3"/>
  </bookViews>
  <sheets>
    <sheet name="Voorblad" sheetId="1" r:id="rId1"/>
    <sheet name="Revisies" sheetId="2" r:id="rId2"/>
    <sheet name="WEB_IMG2_001" sheetId="3" r:id="rId3"/>
    <sheet name="IMG2_P01" sheetId="5" r:id="rId4"/>
    <sheet name="IMG2_P02" sheetId="6" r:id="rId5"/>
    <sheet name="IMG2_P03" sheetId="7" r:id="rId6"/>
    <sheet name="IMG2_P04" sheetId="8" r:id="rId7"/>
    <sheet name="Prova_Settings" sheetId="4" r:id="rId8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F7" i="6" l="1"/>
  <c r="B2" i="3"/>
  <c r="F3" i="2" l="1"/>
</calcChain>
</file>

<file path=xl/sharedStrings.xml><?xml version="1.0" encoding="utf-8"?>
<sst xmlns="http://schemas.openxmlformats.org/spreadsheetml/2006/main" count="264" uniqueCount="142">
  <si>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</si>
  <si>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</si>
  <si>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</si>
  <si>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</si>
  <si>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</si>
  <si>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</si>
  <si>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</si>
  <si>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</si>
  <si>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</si>
  <si>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</si>
  <si>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</si>
  <si>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</si>
  <si>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</si>
  <si>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</si>
  <si>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</si>
  <si>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</si>
  <si>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</si>
  <si>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</si>
  <si>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</si>
  <si>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</si>
  <si>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</si>
  <si>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</si>
  <si>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</si>
  <si>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</si>
  <si>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</si>
  <si>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</si>
  <si>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</si>
  <si>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</si>
  <si>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</si>
  <si>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</si>
  <si>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</si>
  <si>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</si>
  <si>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</si>
  <si>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</si>
  <si>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</si>
  <si>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</si>
  <si>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</si>
  <si>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</si>
  <si>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</si>
  <si>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</si>
  <si>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</si>
  <si>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</si>
  <si>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</si>
  <si>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</si>
  <si>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</si>
  <si>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</si>
  <si>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</si>
  <si>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Toevoegen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</si>
  <si>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</si>
  <si>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</si>
  <si>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</si>
  <si>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</si>
  <si>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</si>
  <si>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</si>
  <si>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</si>
  <si>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</si>
  <si>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</si>
  <si>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</si>
  <si>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</si>
  <si>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</si>
  <si>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</si>
  <si>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</si>
  <si>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</si>
  <si>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</si>
  <si>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</si>
  <si>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</si>
  <si>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</si>
  <si>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</si>
  <si>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</si>
  <si>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</si>
  <si>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</si>
  <si>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</si>
  <si>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</si>
  <si>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</si>
  <si>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</si>
  <si>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</si>
  <si>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</si>
  <si>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</si>
  <si>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</si>
  <si>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</si>
  <si>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</si>
  <si>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</si>
  <si>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</si>
  <si>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</si>
  <si>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</si>
  <si>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</si>
  <si>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</si>
  <si>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</si>
  <si>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Erik Elsenbroek</t>
  </si>
  <si>
    <t>Nee</t>
  </si>
  <si>
    <t>Verzenden</t>
  </si>
  <si>
    <t>Vervolgacties</t>
  </si>
  <si>
    <t>Prototype - Gebeurtenissen - v2.8</t>
  </si>
  <si>
    <t>U:\DICTU\project_data\Programma UP-DR\000 Documentatie UP\03. Domeinen\03. Gebeurtenissen\01. Prototypische processen\02. Aquima prototypische laag</t>
  </si>
  <si>
    <t>v2.8</t>
  </si>
  <si>
    <t>Gebeurteniskeuze</t>
  </si>
  <si>
    <t>Welke gebeurtenis wilt u melden?*</t>
  </si>
  <si>
    <t>Gebeurtenis keuze</t>
  </si>
  <si>
    <t>Ontvangstdatum van de gebeurtenis?*</t>
  </si>
  <si>
    <t>Waar komt de melding vandaan?*</t>
  </si>
  <si>
    <t>"DIVERS"</t>
  </si>
  <si>
    <t>Wat is de referentie voor deze melding?*</t>
  </si>
  <si>
    <t>"Referentie"</t>
  </si>
  <si>
    <t>Opvoeren gebeurtenis</t>
  </si>
  <si>
    <t>Intern terug te melden</t>
  </si>
  <si>
    <t>Naam*</t>
  </si>
  <si>
    <t>E-mailadres*</t>
  </si>
  <si>
    <t>"Naam"</t>
  </si>
  <si>
    <t>a@b.c</t>
  </si>
  <si>
    <t>Zoek</t>
  </si>
  <si>
    <t>Specificatie Gebeurtenis</t>
  </si>
  <si>
    <t>Aantekeningen, Bijlagen</t>
  </si>
  <si>
    <t>Moet deze gebeurtenis gecontroleerd worden?*</t>
  </si>
  <si>
    <t>{IMG_Naam}</t>
  </si>
  <si>
    <t>{IMG_E-mailadres}</t>
  </si>
  <si>
    <t>{IMG_Ontvangsdatum}</t>
  </si>
  <si>
    <t>{IMG_MeldingAfkomst01}</t>
  </si>
  <si>
    <t>{IMG_Referentie}</t>
  </si>
  <si>
    <t>{IMG_Controle02}</t>
  </si>
  <si>
    <t>Is er een aanvulling nodig op deze gebeurtenis?*</t>
  </si>
  <si>
    <t>{IMG_Aanvullen02}</t>
  </si>
  <si>
    <t>Is er een electronisch document dat in een volgende actie beoordeeld moet worden?*</t>
  </si>
  <si>
    <t>{IMG_Beoordelen ElectrDoc02}</t>
  </si>
  <si>
    <t>Prototype projectsubsidies - IMG - GEB2</t>
  </si>
  <si>
    <t>IMG2_P01</t>
  </si>
  <si>
    <t>IMG2_P02</t>
  </si>
  <si>
    <t>IMG2_P03</t>
  </si>
  <si>
    <t>IMG2_P04</t>
  </si>
  <si>
    <t>Sub-script dat pagina 1 van IMG GEB2 beschrijft.</t>
  </si>
  <si>
    <t>"Test bedrijfsmiddelen overdracht"</t>
  </si>
  <si>
    <t>Opvoeren gebeurtenis, Intern terugmelden, Betrokkenen</t>
  </si>
  <si>
    <t>Betrokkenen</t>
  </si>
  <si>
    <t>Relatienummer</t>
  </si>
  <si>
    <t>{IMG_RelNr01}</t>
  </si>
  <si>
    <t>Sub-script dat pagina 2 van IMG GEB2 beschrijft.</t>
  </si>
  <si>
    <t>Sub-script dat pagina 3 van IMG GEB3beschrijft.</t>
  </si>
  <si>
    <t>Geef per grondslag of specificatie aan wie de verwerver wordt</t>
  </si>
  <si>
    <t>Sub-script dat pagina 3 van IMG GEB2 beschrijft.</t>
  </si>
  <si>
    <t>Regressie</t>
  </si>
  <si>
    <t>Uitvoeren in regressietest</t>
  </si>
  <si>
    <t>{IMG2_SoortGebeurtenis}</t>
  </si>
  <si>
    <t>Initieel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</si>
</sst>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"/>
    <numFmt numFmtId="165" formatCode="0.0"/>
    <numFmt numFmtId="166" formatCode="yyyy/mm/dd"/>
    <numFmt numFmtId="167" formatCode="[$-413]d\ mmmm\ yyyy;@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81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0" xfId="0" applyFont="1" applyFill="1" applyAlignment="1">
      <alignment horizontal="left"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2" fillId="0" borderId="4" xfId="0" applyFont="1" applyBorder="1" applyAlignment="1">
      <alignment wrapText="1"/>
    </xf>
    <xf numFmtId="0" fontId="2" fillId="0" borderId="4" xfId="0" applyFont="1" applyBorder="1" applyAlignment="1"/>
    <xf numFmtId="0" fontId="2" fillId="0" borderId="1" xfId="0" applyFont="1" applyBorder="1" applyAlignment="1"/>
    <xf numFmtId="0" fontId="4" fillId="0" borderId="1" xfId="1" applyFill="1" applyBorder="1" applyAlignment="1" applyProtection="1">
      <alignment horizontal="left" vertical="top" wrapText="1"/>
    </xf>
    <xf numFmtId="0" fontId="4" fillId="0" borderId="4" xfId="1" applyBorder="1" applyAlignment="1" applyProtection="1"/>
    <xf numFmtId="167" fontId="2" fillId="0" borderId="4" xfId="0" applyNumberFormat="1" applyFont="1" applyBorder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4" xfId="0" applyFont="1" applyBorder="1" applyAlignment="1"/>
    <xf numFmtId="0" fontId="6" fillId="7" borderId="5" xfId="0" applyFont="1" applyFill="1" applyBorder="1" applyAlignment="1"/>
    <xf numFmtId="0" fontId="9" fillId="0" borderId="4" xfId="0" applyFont="1" applyBorder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@b.c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topLeftCell="B1" workbookViewId="0">
      <selection activeCell="B2" sqref="B2:D2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7" t="s">
        <v>0</v>
      </c>
      <c r="B1" s="58"/>
      <c r="C1" s="58"/>
      <c r="D1" s="59"/>
    </row>
    <row r="2" spans="1:4" x14ac:dyDescent="0.2">
      <c r="A2" s="1" t="s">
        <v>1</v>
      </c>
      <c r="B2" s="60" t="s">
        <v>123</v>
      </c>
      <c r="C2" s="58"/>
      <c r="D2" s="59"/>
    </row>
    <row r="3" spans="1:4" x14ac:dyDescent="0.2">
      <c r="A3" s="1" t="s">
        <v>2</v>
      </c>
      <c r="B3" s="60" t="s">
        <v>3</v>
      </c>
      <c r="C3" s="58"/>
      <c r="D3" s="59"/>
    </row>
    <row r="4" spans="1:4" x14ac:dyDescent="0.2">
      <c r="A4" s="1" t="s">
        <v>4</v>
      </c>
      <c r="B4" s="60" t="s">
        <v>5</v>
      </c>
      <c r="C4" s="58"/>
      <c r="D4" s="59"/>
    </row>
    <row r="5" spans="1:4" x14ac:dyDescent="0.2">
      <c r="A5" s="1" t="s">
        <v>6</v>
      </c>
      <c r="B5" s="61">
        <v>42377</v>
      </c>
      <c r="C5" s="62"/>
      <c r="D5" s="63"/>
    </row>
    <row r="6" spans="1:4" x14ac:dyDescent="0.2">
      <c r="A6" s="1" t="s">
        <v>7</v>
      </c>
      <c r="B6" s="60" t="s">
        <v>8</v>
      </c>
      <c r="C6" s="58"/>
      <c r="D6" s="59"/>
    </row>
    <row r="7" spans="1:4" x14ac:dyDescent="0.2">
      <c r="A7" s="54"/>
      <c r="B7" s="55"/>
      <c r="C7" s="55"/>
      <c r="D7" s="55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92</v>
      </c>
      <c r="B10" s="51" t="s">
        <v>93</v>
      </c>
      <c r="C10" s="9" t="s">
        <v>94</v>
      </c>
      <c r="D10" s="10">
        <v>42452</v>
      </c>
    </row>
    <row r="11" spans="1:4" x14ac:dyDescent="0.2">
      <c r="A11" s="54"/>
      <c r="B11" s="55"/>
      <c r="C11" s="55"/>
      <c r="D11" s="55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4"/>
      <c r="B13" s="55"/>
      <c r="C13" s="55"/>
      <c r="D13" s="56"/>
    </row>
    <row r="14" spans="1:4" x14ac:dyDescent="0.2">
      <c r="A14" s="54"/>
      <c r="B14" s="55"/>
      <c r="C14" s="55"/>
      <c r="D14" s="55"/>
    </row>
    <row r="15" spans="1:4" x14ac:dyDescent="0.2">
      <c r="A15" s="57" t="s">
        <v>13</v>
      </c>
      <c r="B15" s="58"/>
      <c r="C15" s="58"/>
      <c r="D15" s="59"/>
    </row>
    <row r="16" spans="1:4" x14ac:dyDescent="0.2">
      <c r="A16" s="54"/>
      <c r="B16" s="55"/>
      <c r="C16" s="55"/>
      <c r="D16" s="56"/>
    </row>
    <row r="17" spans="1:4" x14ac:dyDescent="0.2">
      <c r="A17" s="54"/>
      <c r="B17" s="55"/>
      <c r="C17" s="55"/>
      <c r="D17" s="56"/>
    </row>
    <row r="18" spans="1:4" x14ac:dyDescent="0.2">
      <c r="A18" s="54"/>
      <c r="B18" s="55"/>
      <c r="C18" s="55"/>
      <c r="D18" s="56"/>
    </row>
    <row r="19" spans="1:4" x14ac:dyDescent="0.2">
      <c r="A19" s="54"/>
      <c r="B19" s="55"/>
      <c r="C19" s="55"/>
      <c r="D19" s="56"/>
    </row>
    <row r="20" spans="1:4" x14ac:dyDescent="0.2">
      <c r="A20" s="54"/>
      <c r="B20" s="55"/>
      <c r="C20" s="55"/>
      <c r="D20" s="56"/>
    </row>
    <row r="21" spans="1:4" x14ac:dyDescent="0.2">
      <c r="A21" s="54"/>
      <c r="B21" s="55"/>
      <c r="C21" s="55"/>
      <c r="D21" s="56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5.710937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64" t="s">
        <v>14</v>
      </c>
      <c r="C1" s="65"/>
      <c r="D1" s="65"/>
      <c r="E1" s="65"/>
      <c r="F1" s="65"/>
      <c r="G1" s="66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42467</v>
      </c>
      <c r="D3" s="12" t="s">
        <v>88</v>
      </c>
      <c r="E3" s="12"/>
      <c r="F3" s="13" t="str">
        <f ca="1">WEB_IMG2_001!B2</f>
        <v>WEB_IMG2_001</v>
      </c>
      <c r="G3" s="12" t="s">
        <v>141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7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19</v>
      </c>
      <c r="B2" s="24" t="str">
        <f ca="1">SheetName(B2)</f>
        <v>WEB_IMG2_001</v>
      </c>
      <c r="C2" s="69" t="s">
        <v>80</v>
      </c>
      <c r="D2" s="69"/>
      <c r="E2" s="69"/>
    </row>
    <row r="3" spans="1:5" ht="12.75" customHeight="1" x14ac:dyDescent="0.2"/>
    <row r="4" spans="1:5" ht="12.75" customHeight="1" x14ac:dyDescent="0.2">
      <c r="A4" s="42" t="s">
        <v>20</v>
      </c>
      <c r="B4" s="67"/>
      <c r="C4" s="67"/>
      <c r="D4" s="67"/>
      <c r="E4" s="67"/>
    </row>
    <row r="5" spans="1:5" ht="12.75" customHeight="1" x14ac:dyDescent="0.2">
      <c r="A5" s="42" t="s">
        <v>21</v>
      </c>
      <c r="B5" s="67"/>
      <c r="C5" s="67"/>
      <c r="D5" s="67"/>
      <c r="E5" s="67"/>
    </row>
    <row r="6" spans="1:5" ht="12.75" customHeight="1" x14ac:dyDescent="0.2">
      <c r="A6" s="42" t="s">
        <v>22</v>
      </c>
      <c r="B6" s="67"/>
      <c r="C6" s="67"/>
      <c r="D6" s="67"/>
      <c r="E6" s="67"/>
    </row>
    <row r="7" spans="1:5" ht="12.75" customHeight="1" x14ac:dyDescent="0.2">
      <c r="A7" s="42" t="s">
        <v>23</v>
      </c>
      <c r="B7" s="67"/>
      <c r="C7" s="67"/>
      <c r="D7" s="67"/>
      <c r="E7" s="67"/>
    </row>
    <row r="8" spans="1:5" ht="12.75" customHeight="1" x14ac:dyDescent="0.2">
      <c r="A8" s="42" t="s">
        <v>24</v>
      </c>
      <c r="B8" s="67" t="s">
        <v>31</v>
      </c>
      <c r="C8" s="67"/>
      <c r="D8" s="67"/>
      <c r="E8" s="67"/>
    </row>
    <row r="9" spans="1:5" ht="12.75" customHeight="1" x14ac:dyDescent="0.2"/>
    <row r="10" spans="1:5" ht="12.75" customHeight="1" x14ac:dyDescent="0.2">
      <c r="A10" s="41" t="s">
        <v>25</v>
      </c>
      <c r="B10" s="27" t="s">
        <v>56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26</v>
      </c>
    </row>
    <row r="14" spans="1:5" ht="12.75" customHeight="1" x14ac:dyDescent="0.2">
      <c r="A14" s="45" t="s">
        <v>27</v>
      </c>
      <c r="B14" s="68" t="s">
        <v>28</v>
      </c>
      <c r="C14" s="68"/>
      <c r="D14" s="68"/>
      <c r="E14" s="68"/>
    </row>
    <row r="15" spans="1:5" ht="12.75" customHeight="1" x14ac:dyDescent="0.2">
      <c r="A15" s="46" t="s">
        <v>29</v>
      </c>
      <c r="B15" s="67"/>
      <c r="C15" s="67"/>
      <c r="D15" s="67"/>
      <c r="E15" s="67"/>
    </row>
    <row r="16" spans="1:5" ht="12.75" customHeight="1" x14ac:dyDescent="0.2">
      <c r="A16" s="50" t="s">
        <v>138</v>
      </c>
      <c r="B16" s="49" t="s">
        <v>139</v>
      </c>
      <c r="C16" s="49"/>
      <c r="D16" s="49"/>
      <c r="E16" s="49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30</v>
      </c>
    </row>
    <row r="20" spans="1:5" ht="12.75" customHeight="1" x14ac:dyDescent="0.2">
      <c r="A20" s="72" t="s">
        <v>86</v>
      </c>
      <c r="B20" s="73"/>
      <c r="C20" s="29" t="s">
        <v>87</v>
      </c>
      <c r="D20" s="29" t="s">
        <v>85</v>
      </c>
      <c r="E20" s="29" t="s">
        <v>28</v>
      </c>
    </row>
    <row r="21" spans="1:5" ht="12.75" customHeight="1" x14ac:dyDescent="0.2">
      <c r="A21" s="70"/>
      <c r="B21" s="71"/>
      <c r="C21" s="30" t="s">
        <v>124</v>
      </c>
      <c r="D21" s="30"/>
      <c r="E21" s="30" t="s">
        <v>95</v>
      </c>
    </row>
    <row r="22" spans="1:5" ht="12.75" customHeight="1" x14ac:dyDescent="0.2">
      <c r="A22" s="70"/>
      <c r="B22" s="71"/>
      <c r="C22" s="40" t="s">
        <v>125</v>
      </c>
      <c r="D22" s="30"/>
      <c r="E22" s="30" t="s">
        <v>130</v>
      </c>
    </row>
    <row r="23" spans="1:5" ht="12.75" customHeight="1" x14ac:dyDescent="0.2">
      <c r="A23" s="70"/>
      <c r="B23" s="71"/>
      <c r="C23" s="40" t="s">
        <v>126</v>
      </c>
      <c r="D23" s="30"/>
      <c r="E23" s="30" t="s">
        <v>110</v>
      </c>
    </row>
    <row r="24" spans="1:5" ht="12.75" customHeight="1" x14ac:dyDescent="0.2">
      <c r="A24" s="70"/>
      <c r="B24" s="71"/>
      <c r="C24" s="40" t="s">
        <v>127</v>
      </c>
      <c r="D24" s="30"/>
      <c r="E24" s="30" t="s">
        <v>111</v>
      </c>
    </row>
    <row r="25" spans="1:5" ht="12.75" customHeight="1" x14ac:dyDescent="0.2"/>
    <row r="26" spans="1:5" ht="12.75" customHeight="1" x14ac:dyDescent="0.2"/>
    <row r="27" spans="1:5" ht="12.75" customHeight="1" x14ac:dyDescent="0.2"/>
  </sheetData>
  <mergeCells count="13">
    <mergeCell ref="A24:B24"/>
    <mergeCell ref="A20:B20"/>
    <mergeCell ref="A21:B21"/>
    <mergeCell ref="A22:B22"/>
    <mergeCell ref="A23:B23"/>
    <mergeCell ref="B8:E8"/>
    <mergeCell ref="B14:E14"/>
    <mergeCell ref="B15:E15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8"/>
  <sheetViews>
    <sheetView tabSelected="1" topLeftCell="B1" workbookViewId="0">
      <selection activeCell="B3"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3" t="s">
        <v>53</v>
      </c>
      <c r="B2" s="74" t="s">
        <v>128</v>
      </c>
      <c r="C2" s="75"/>
      <c r="D2" s="75"/>
      <c r="E2" s="75"/>
      <c r="F2" s="76"/>
    </row>
    <row r="5" spans="1:6" x14ac:dyDescent="0.2">
      <c r="A5" s="29" t="s">
        <v>39</v>
      </c>
      <c r="B5" s="27" t="s">
        <v>97</v>
      </c>
    </row>
    <row r="6" spans="1:6" x14ac:dyDescent="0.2">
      <c r="A6" s="29" t="s">
        <v>82</v>
      </c>
      <c r="B6" s="29" t="s">
        <v>81</v>
      </c>
      <c r="C6" s="29" t="s">
        <v>83</v>
      </c>
      <c r="D6" s="29" t="s">
        <v>84</v>
      </c>
      <c r="E6" s="29" t="s">
        <v>85</v>
      </c>
      <c r="F6" s="29" t="s">
        <v>28</v>
      </c>
    </row>
    <row r="7" spans="1:6" x14ac:dyDescent="0.2">
      <c r="A7" s="27" t="s">
        <v>96</v>
      </c>
      <c r="B7" s="39" t="s">
        <v>49</v>
      </c>
      <c r="C7" s="28"/>
      <c r="D7" s="39" t="s">
        <v>50</v>
      </c>
      <c r="E7" s="27" t="s">
        <v>140</v>
      </c>
      <c r="F7" s="48" t="s">
        <v>129</v>
      </c>
    </row>
    <row r="8" spans="1:6" x14ac:dyDescent="0.2">
      <c r="A8" s="27" t="s">
        <v>52</v>
      </c>
      <c r="B8" s="39" t="s">
        <v>45</v>
      </c>
      <c r="C8" s="28"/>
      <c r="D8" s="39" t="s">
        <v>46</v>
      </c>
      <c r="E8" s="27"/>
      <c r="F8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8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8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24"/>
  <sheetViews>
    <sheetView topLeftCell="A10" workbookViewId="0">
      <selection activeCell="E21" sqref="E21:F21"/>
    </sheetView>
  </sheetViews>
  <sheetFormatPr defaultRowHeight="12.75" x14ac:dyDescent="0.2"/>
  <cols>
    <col min="1" max="1" width="61.7109375" style="11" customWidth="1"/>
    <col min="2" max="2" width="22.85546875" style="11" bestFit="1" customWidth="1"/>
    <col min="3" max="3" width="4.42578125" style="11" bestFit="1" customWidth="1"/>
    <col min="4" max="4" width="10.42578125" style="11" customWidth="1"/>
    <col min="5" max="5" width="25.28515625" style="11" bestFit="1" customWidth="1"/>
    <col min="6" max="6" width="17.140625" style="11" bestFit="1" customWidth="1"/>
    <col min="7" max="7" width="54.85546875" style="11" customWidth="1"/>
    <col min="8" max="16384" width="9.140625" style="11"/>
  </cols>
  <sheetData>
    <row r="2" spans="1:6" ht="15" x14ac:dyDescent="0.25">
      <c r="A2" s="44" t="s">
        <v>53</v>
      </c>
      <c r="B2" s="74" t="s">
        <v>134</v>
      </c>
      <c r="C2" s="75"/>
      <c r="D2" s="75"/>
      <c r="E2" s="75"/>
      <c r="F2" s="76"/>
    </row>
    <row r="5" spans="1:6" x14ac:dyDescent="0.2">
      <c r="A5" s="26" t="s">
        <v>39</v>
      </c>
      <c r="B5" s="27" t="s">
        <v>103</v>
      </c>
    </row>
    <row r="6" spans="1:6" x14ac:dyDescent="0.2">
      <c r="A6" s="29" t="s">
        <v>82</v>
      </c>
      <c r="B6" s="29" t="s">
        <v>81</v>
      </c>
      <c r="C6" s="29" t="s">
        <v>83</v>
      </c>
      <c r="D6" s="29" t="s">
        <v>84</v>
      </c>
      <c r="E6" s="29" t="s">
        <v>85</v>
      </c>
      <c r="F6" s="29" t="s">
        <v>28</v>
      </c>
    </row>
    <row r="7" spans="1:6" x14ac:dyDescent="0.2">
      <c r="A7" s="27" t="s">
        <v>98</v>
      </c>
      <c r="B7" s="39" t="s">
        <v>42</v>
      </c>
      <c r="C7" s="28"/>
      <c r="D7" s="39" t="s">
        <v>43</v>
      </c>
      <c r="E7" s="27" t="s">
        <v>115</v>
      </c>
      <c r="F7" s="53">
        <f ca="1">NOW()</f>
        <v>42478.578832523148</v>
      </c>
    </row>
    <row r="8" spans="1:6" x14ac:dyDescent="0.2">
      <c r="A8" s="27" t="s">
        <v>99</v>
      </c>
      <c r="B8" s="39" t="s">
        <v>69</v>
      </c>
      <c r="C8" s="28"/>
      <c r="D8" s="39" t="s">
        <v>50</v>
      </c>
      <c r="E8" s="27" t="s">
        <v>116</v>
      </c>
      <c r="F8" s="27" t="s">
        <v>100</v>
      </c>
    </row>
    <row r="9" spans="1:6" x14ac:dyDescent="0.2">
      <c r="A9" s="27" t="s">
        <v>101</v>
      </c>
      <c r="B9" s="39" t="s">
        <v>42</v>
      </c>
      <c r="C9" s="28"/>
      <c r="D9" s="39" t="s">
        <v>43</v>
      </c>
      <c r="E9" s="27" t="s">
        <v>117</v>
      </c>
      <c r="F9" s="27" t="s">
        <v>102</v>
      </c>
    </row>
    <row r="12" spans="1:6" x14ac:dyDescent="0.2">
      <c r="A12" s="26" t="s">
        <v>39</v>
      </c>
      <c r="B12" s="27" t="s">
        <v>104</v>
      </c>
    </row>
    <row r="13" spans="1:6" x14ac:dyDescent="0.2">
      <c r="A13" s="29" t="s">
        <v>82</v>
      </c>
      <c r="B13" s="29" t="s">
        <v>81</v>
      </c>
      <c r="C13" s="29" t="s">
        <v>83</v>
      </c>
      <c r="D13" s="29" t="s">
        <v>84</v>
      </c>
      <c r="E13" s="29" t="s">
        <v>85</v>
      </c>
      <c r="F13" s="29" t="s">
        <v>28</v>
      </c>
    </row>
    <row r="14" spans="1:6" x14ac:dyDescent="0.2">
      <c r="A14" s="27" t="s">
        <v>105</v>
      </c>
      <c r="B14" s="39" t="s">
        <v>42</v>
      </c>
      <c r="C14" s="28"/>
      <c r="D14" s="39" t="s">
        <v>43</v>
      </c>
      <c r="E14" s="27" t="s">
        <v>113</v>
      </c>
      <c r="F14" s="27" t="s">
        <v>107</v>
      </c>
    </row>
    <row r="15" spans="1:6" ht="15" x14ac:dyDescent="0.25">
      <c r="A15" s="27" t="s">
        <v>106</v>
      </c>
      <c r="B15" s="39" t="s">
        <v>42</v>
      </c>
      <c r="C15" s="28"/>
      <c r="D15" s="39" t="s">
        <v>43</v>
      </c>
      <c r="E15" s="27" t="s">
        <v>114</v>
      </c>
      <c r="F15" s="52" t="s">
        <v>108</v>
      </c>
    </row>
    <row r="18" spans="1:6" x14ac:dyDescent="0.2">
      <c r="A18" s="26" t="s">
        <v>39</v>
      </c>
      <c r="B18" s="27" t="s">
        <v>131</v>
      </c>
    </row>
    <row r="19" spans="1:6" x14ac:dyDescent="0.2">
      <c r="A19" s="29" t="s">
        <v>82</v>
      </c>
      <c r="B19" s="29" t="s">
        <v>81</v>
      </c>
      <c r="C19" s="29" t="s">
        <v>83</v>
      </c>
      <c r="D19" s="29" t="s">
        <v>84</v>
      </c>
      <c r="E19" s="29" t="s">
        <v>85</v>
      </c>
      <c r="F19" s="29" t="s">
        <v>28</v>
      </c>
    </row>
    <row r="20" spans="1:6" x14ac:dyDescent="0.2">
      <c r="A20" s="27" t="s">
        <v>47</v>
      </c>
      <c r="B20" s="39" t="s">
        <v>45</v>
      </c>
      <c r="C20" s="28"/>
      <c r="D20" s="39" t="s">
        <v>46</v>
      </c>
      <c r="E20" s="27"/>
      <c r="F20" s="27"/>
    </row>
    <row r="21" spans="1:6" x14ac:dyDescent="0.2">
      <c r="A21" s="27" t="s">
        <v>132</v>
      </c>
      <c r="B21" s="39" t="s">
        <v>42</v>
      </c>
      <c r="C21" s="28"/>
      <c r="D21" s="39" t="s">
        <v>43</v>
      </c>
      <c r="E21" s="27" t="s">
        <v>133</v>
      </c>
      <c r="F21" s="27">
        <v>90031996</v>
      </c>
    </row>
    <row r="22" spans="1:6" x14ac:dyDescent="0.2">
      <c r="A22" s="27" t="s">
        <v>109</v>
      </c>
      <c r="B22" s="39" t="s">
        <v>45</v>
      </c>
      <c r="C22" s="28"/>
      <c r="D22" s="39" t="s">
        <v>46</v>
      </c>
      <c r="E22" s="27"/>
      <c r="F22" s="27"/>
    </row>
    <row r="23" spans="1:6" x14ac:dyDescent="0.2">
      <c r="A23" s="27" t="s">
        <v>52</v>
      </c>
      <c r="B23" s="39" t="s">
        <v>45</v>
      </c>
      <c r="C23" s="28"/>
      <c r="D23" s="39" t="s">
        <v>46</v>
      </c>
      <c r="E23" s="27"/>
      <c r="F23" s="27"/>
    </row>
    <row r="24" spans="1:6" x14ac:dyDescent="0.2">
      <c r="A24" s="27" t="s">
        <v>52</v>
      </c>
      <c r="B24" s="39" t="s">
        <v>45</v>
      </c>
      <c r="C24" s="28"/>
      <c r="D24" s="39" t="s">
        <v>46</v>
      </c>
      <c r="E24" s="27"/>
      <c r="F24" s="27"/>
    </row>
  </sheetData>
  <mergeCells count="1">
    <mergeCell ref="B2:F2"/>
  </mergeCells>
  <dataValidations count="3">
    <dataValidation type="list" allowBlank="1" showInputMessage="1" showErrorMessage="1" errorTitle="Ongeldige actie" error="Ongeldige actie geselecteerd" promptTitle="Kies een actie" prompt="Kies de actie die uitgevoerd moet worden op het gekozen element" sqref="D7:D9 D14:D15 D20:D24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20 B22:B24">
      <formula1>ProvaSettings_FTC_Locators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9 B14:B15 B21">
      <formula1>ProvaSettings_FTC_Locators</formula1>
    </dataValidation>
  </dataValidations>
  <hyperlinks>
    <hyperlink ref="F15" r:id="rId1"/>
  </hyperlinks>
  <pageMargins left="0.7" right="0.7" top="0.75" bottom="0.75" header="0.3" footer="0.3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23"/>
  <sheetViews>
    <sheetView workbookViewId="0">
      <selection activeCell="E7" sqref="E7:E13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42578125" style="11" bestFit="1" customWidth="1"/>
    <col min="4" max="4" width="7.5703125" style="11" bestFit="1" customWidth="1"/>
    <col min="5" max="5" width="29.42578125" style="11" bestFit="1" customWidth="1"/>
    <col min="6" max="6" width="12.5703125" style="11" bestFit="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3" t="s">
        <v>53</v>
      </c>
      <c r="B2" s="74" t="s">
        <v>135</v>
      </c>
      <c r="C2" s="75"/>
      <c r="D2" s="75"/>
      <c r="E2" s="75"/>
      <c r="F2" s="76"/>
    </row>
    <row r="3" spans="1:6" ht="12.75" customHeight="1" x14ac:dyDescent="0.2"/>
    <row r="4" spans="1:6" ht="12.75" customHeight="1" x14ac:dyDescent="0.2"/>
    <row r="5" spans="1:6" ht="12.75" customHeight="1" x14ac:dyDescent="0.2">
      <c r="A5" s="29" t="s">
        <v>39</v>
      </c>
      <c r="B5" s="27"/>
    </row>
    <row r="6" spans="1:6" ht="12.75" customHeight="1" x14ac:dyDescent="0.2">
      <c r="A6" s="29" t="s">
        <v>82</v>
      </c>
      <c r="B6" s="29" t="s">
        <v>81</v>
      </c>
      <c r="C6" s="29" t="s">
        <v>83</v>
      </c>
      <c r="D6" s="29" t="s">
        <v>84</v>
      </c>
      <c r="E6" s="29" t="s">
        <v>85</v>
      </c>
      <c r="F6" s="29" t="s">
        <v>28</v>
      </c>
    </row>
    <row r="7" spans="1:6" ht="12.75" customHeight="1" x14ac:dyDescent="0.2">
      <c r="A7" s="27" t="s">
        <v>136</v>
      </c>
      <c r="B7" s="39" t="s">
        <v>45</v>
      </c>
      <c r="C7" s="28"/>
      <c r="D7" s="39" t="s">
        <v>46</v>
      </c>
      <c r="E7" s="27"/>
      <c r="F7" s="27"/>
    </row>
    <row r="8" spans="1:6" ht="12.75" customHeight="1" x14ac:dyDescent="0.2">
      <c r="A8" s="27">
        <v>90031996</v>
      </c>
      <c r="B8" s="39" t="s">
        <v>49</v>
      </c>
      <c r="C8" s="28">
        <v>1</v>
      </c>
      <c r="D8" s="39" t="s">
        <v>50</v>
      </c>
      <c r="E8" s="27"/>
      <c r="F8" s="27"/>
    </row>
    <row r="9" spans="1:6" ht="12.75" customHeight="1" x14ac:dyDescent="0.2">
      <c r="A9" s="27">
        <v>90031996</v>
      </c>
      <c r="B9" s="39" t="s">
        <v>49</v>
      </c>
      <c r="C9" s="28">
        <v>2</v>
      </c>
      <c r="D9" s="39" t="s">
        <v>50</v>
      </c>
      <c r="E9" s="27"/>
      <c r="F9" s="27"/>
    </row>
    <row r="10" spans="1:6" ht="12.75" customHeight="1" x14ac:dyDescent="0.2">
      <c r="A10" s="27">
        <v>90031996</v>
      </c>
      <c r="B10" s="39" t="s">
        <v>49</v>
      </c>
      <c r="C10" s="28">
        <v>3</v>
      </c>
      <c r="D10" s="39" t="s">
        <v>50</v>
      </c>
      <c r="E10" s="27"/>
      <c r="F10" s="27"/>
    </row>
    <row r="11" spans="1:6" ht="12.75" customHeight="1" x14ac:dyDescent="0.2">
      <c r="A11" s="27">
        <v>90031996</v>
      </c>
      <c r="B11" s="39" t="s">
        <v>49</v>
      </c>
      <c r="C11" s="28">
        <v>4</v>
      </c>
      <c r="D11" s="39" t="s">
        <v>50</v>
      </c>
      <c r="E11" s="27"/>
      <c r="F11" s="27"/>
    </row>
    <row r="12" spans="1:6" ht="12.75" customHeight="1" x14ac:dyDescent="0.2">
      <c r="A12" s="27">
        <v>90031996</v>
      </c>
      <c r="B12" s="39" t="s">
        <v>49</v>
      </c>
      <c r="C12" s="28">
        <v>5</v>
      </c>
      <c r="D12" s="39" t="s">
        <v>50</v>
      </c>
      <c r="E12" s="27"/>
      <c r="F12" s="27"/>
    </row>
    <row r="13" spans="1:6" ht="12.75" customHeight="1" x14ac:dyDescent="0.2">
      <c r="A13" s="27">
        <v>90031996</v>
      </c>
      <c r="B13" s="39" t="s">
        <v>49</v>
      </c>
      <c r="C13" s="28">
        <v>6</v>
      </c>
      <c r="D13" s="39" t="s">
        <v>50</v>
      </c>
      <c r="E13" s="27"/>
      <c r="F13" s="27"/>
    </row>
    <row r="14" spans="1:6" ht="12.75" customHeight="1" x14ac:dyDescent="0.2">
      <c r="A14" s="27" t="s">
        <v>52</v>
      </c>
      <c r="B14" s="39" t="s">
        <v>45</v>
      </c>
      <c r="C14" s="28"/>
      <c r="D14" s="39" t="s">
        <v>46</v>
      </c>
      <c r="E14" s="27"/>
      <c r="F14" s="27"/>
    </row>
    <row r="15" spans="1:6" ht="12.75" customHeight="1" x14ac:dyDescent="0.2"/>
    <row r="16" spans="1:6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4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4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2:F11"/>
  <sheetViews>
    <sheetView zoomScaleNormal="100" workbookViewId="0">
      <selection activeCell="E16" sqref="E16"/>
    </sheetView>
  </sheetViews>
  <sheetFormatPr defaultRowHeight="12.75" x14ac:dyDescent="0.2"/>
  <cols>
    <col min="1" max="1" width="44.7109375" style="11" customWidth="1"/>
    <col min="2" max="2" width="13.7109375" style="11" bestFit="1" customWidth="1"/>
    <col min="3" max="3" width="4.42578125" style="11" bestFit="1" customWidth="1"/>
    <col min="4" max="4" width="7.5703125" style="11" bestFit="1" customWidth="1"/>
    <col min="5" max="5" width="31" style="11" bestFit="1" customWidth="1"/>
    <col min="6" max="6" width="12.5703125" style="11" bestFit="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53</v>
      </c>
      <c r="B2" s="74" t="s">
        <v>137</v>
      </c>
      <c r="C2" s="75"/>
      <c r="D2" s="75"/>
      <c r="E2" s="75"/>
      <c r="F2" s="76"/>
    </row>
    <row r="5" spans="1:6" x14ac:dyDescent="0.2">
      <c r="A5" s="29" t="s">
        <v>39</v>
      </c>
      <c r="B5" s="27"/>
    </row>
    <row r="6" spans="1:6" x14ac:dyDescent="0.2">
      <c r="A6" s="29" t="s">
        <v>82</v>
      </c>
      <c r="B6" s="29" t="s">
        <v>81</v>
      </c>
      <c r="C6" s="29" t="s">
        <v>83</v>
      </c>
      <c r="D6" s="29" t="s">
        <v>84</v>
      </c>
      <c r="E6" s="29" t="s">
        <v>85</v>
      </c>
      <c r="F6" s="29" t="s">
        <v>28</v>
      </c>
    </row>
    <row r="7" spans="1:6" x14ac:dyDescent="0.2">
      <c r="A7" s="27" t="s">
        <v>112</v>
      </c>
      <c r="B7" s="39" t="s">
        <v>49</v>
      </c>
      <c r="C7" s="28"/>
      <c r="D7" s="39" t="s">
        <v>50</v>
      </c>
      <c r="E7" s="27" t="s">
        <v>118</v>
      </c>
      <c r="F7" s="27" t="s">
        <v>89</v>
      </c>
    </row>
    <row r="8" spans="1:6" x14ac:dyDescent="0.2">
      <c r="A8" s="27" t="s">
        <v>119</v>
      </c>
      <c r="B8" s="39" t="s">
        <v>49</v>
      </c>
      <c r="C8" s="28"/>
      <c r="D8" s="39" t="s">
        <v>50</v>
      </c>
      <c r="E8" s="27" t="s">
        <v>120</v>
      </c>
      <c r="F8" s="27" t="s">
        <v>89</v>
      </c>
    </row>
    <row r="9" spans="1:6" x14ac:dyDescent="0.2">
      <c r="A9" s="27" t="s">
        <v>121</v>
      </c>
      <c r="B9" s="39" t="s">
        <v>49</v>
      </c>
      <c r="C9" s="28"/>
      <c r="D9" s="39" t="s">
        <v>50</v>
      </c>
      <c r="E9" s="27" t="s">
        <v>122</v>
      </c>
      <c r="F9" s="27" t="s">
        <v>89</v>
      </c>
    </row>
    <row r="10" spans="1:6" x14ac:dyDescent="0.2">
      <c r="A10" s="27" t="s">
        <v>90</v>
      </c>
      <c r="B10" s="39" t="s">
        <v>45</v>
      </c>
      <c r="C10" s="28"/>
      <c r="D10" s="39" t="s">
        <v>46</v>
      </c>
      <c r="E10" s="27"/>
      <c r="F10" s="27"/>
    </row>
    <row r="11" spans="1:6" x14ac:dyDescent="0.2">
      <c r="A11" s="27" t="s">
        <v>91</v>
      </c>
      <c r="B11" s="39" t="s">
        <v>45</v>
      </c>
      <c r="C11" s="28"/>
      <c r="D11" s="39" t="s">
        <v>46</v>
      </c>
      <c r="E11" s="27"/>
      <c r="F11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11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1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7" t="s">
        <v>32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9" t="s">
        <v>33</v>
      </c>
      <c r="C3" s="80"/>
      <c r="D3" s="80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80" t="s">
        <v>34</v>
      </c>
      <c r="C4" s="80"/>
      <c r="D4" s="80"/>
      <c r="E4" s="33"/>
      <c r="F4" s="35" t="s">
        <v>35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80" t="s">
        <v>36</v>
      </c>
      <c r="C5" s="80"/>
      <c r="D5" s="80"/>
      <c r="E5" s="33"/>
      <c r="F5" s="36" t="s">
        <v>37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80"/>
      <c r="C6" s="80"/>
      <c r="D6" s="80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76</v>
      </c>
      <c r="C8" s="37"/>
      <c r="D8" s="37" t="s">
        <v>77</v>
      </c>
      <c r="E8" s="37"/>
      <c r="F8" s="37" t="s">
        <v>78</v>
      </c>
      <c r="G8" s="37"/>
      <c r="H8" s="37" t="s">
        <v>79</v>
      </c>
      <c r="I8" s="37"/>
      <c r="J8" s="37" t="s">
        <v>38</v>
      </c>
      <c r="K8" s="37"/>
      <c r="L8" s="37" t="s">
        <v>38</v>
      </c>
      <c r="M8" s="37"/>
      <c r="N8" s="37" t="s">
        <v>38</v>
      </c>
      <c r="O8" s="37"/>
      <c r="P8" s="37" t="s">
        <v>38</v>
      </c>
      <c r="Q8" s="37"/>
      <c r="R8" s="37" t="s">
        <v>38</v>
      </c>
      <c r="S8" s="37"/>
      <c r="T8" s="37" t="s">
        <v>38</v>
      </c>
      <c r="U8" s="37"/>
      <c r="V8" s="37" t="s">
        <v>38</v>
      </c>
      <c r="W8" s="37"/>
      <c r="X8" s="37" t="s">
        <v>38</v>
      </c>
      <c r="Y8" s="26"/>
    </row>
    <row r="9" spans="1:25" x14ac:dyDescent="0.2">
      <c r="B9" s="38" t="s">
        <v>38</v>
      </c>
      <c r="D9" s="38" t="s">
        <v>38</v>
      </c>
      <c r="F9" s="38" t="s">
        <v>38</v>
      </c>
      <c r="H9" s="38" t="s">
        <v>38</v>
      </c>
      <c r="J9" s="38" t="s">
        <v>38</v>
      </c>
      <c r="L9" s="38" t="s">
        <v>38</v>
      </c>
      <c r="N9" s="38" t="s">
        <v>38</v>
      </c>
      <c r="P9" s="38" t="s">
        <v>38</v>
      </c>
      <c r="R9" s="38" t="s">
        <v>38</v>
      </c>
      <c r="T9" s="38" t="s">
        <v>38</v>
      </c>
      <c r="V9" s="38" t="s">
        <v>38</v>
      </c>
      <c r="X9" s="38" t="s">
        <v>38</v>
      </c>
    </row>
    <row r="10" spans="1:25" x14ac:dyDescent="0.2">
      <c r="B10" s="38" t="s">
        <v>54</v>
      </c>
      <c r="D10" s="38" t="s">
        <v>59</v>
      </c>
      <c r="F10" s="38" t="s">
        <v>71</v>
      </c>
      <c r="H10" s="38" t="s">
        <v>75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55</v>
      </c>
      <c r="D11" s="38" t="s">
        <v>45</v>
      </c>
      <c r="F11" s="38" t="s">
        <v>46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56</v>
      </c>
      <c r="D12" s="38" t="s">
        <v>60</v>
      </c>
      <c r="F12" s="38" t="s">
        <v>50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57</v>
      </c>
      <c r="D13" s="38" t="s">
        <v>61</v>
      </c>
      <c r="F13" s="38" t="s">
        <v>43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58</v>
      </c>
      <c r="D14" s="38" t="s">
        <v>62</v>
      </c>
      <c r="F14" s="38" t="s">
        <v>72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63</v>
      </c>
      <c r="F15" s="38" t="s">
        <v>73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64</v>
      </c>
      <c r="F16" s="38" t="s">
        <v>74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65</v>
      </c>
      <c r="F17" s="38" t="s">
        <v>41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66</v>
      </c>
      <c r="F18" s="38" t="s">
        <v>70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67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68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69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49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40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51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42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44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48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70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2</vt:i4>
      </vt:variant>
    </vt:vector>
  </HeadingPairs>
  <TitlesOfParts>
    <vt:vector size="10" baseType="lpstr">
      <vt:lpstr>Voorblad</vt:lpstr>
      <vt:lpstr>Revisies</vt:lpstr>
      <vt:lpstr>WEB_IMG2_001</vt:lpstr>
      <vt:lpstr>IMG2_P01</vt:lpstr>
      <vt:lpstr>IMG2_P02</vt:lpstr>
      <vt:lpstr>IMG2_P03</vt:lpstr>
      <vt:lpstr>IMG2_P04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2016-04-18T11:53:36Z</dcterms:modified>
</cp:coreProperties>
</file>