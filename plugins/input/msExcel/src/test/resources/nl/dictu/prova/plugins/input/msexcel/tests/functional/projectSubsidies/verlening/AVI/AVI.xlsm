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065" windowWidth="17415" windowHeight="7125" tabRatio="824" activeTab="1"/>
  </bookViews>
  <sheets>
    <sheet name="Voorblad" sheetId="1" r:id="rId1"/>
    <sheet name="Revisies" sheetId="2" r:id="rId2"/>
    <sheet name="WEB_AVI_001" sheetId="3" r:id="rId3"/>
    <sheet name="AVI_P01" sheetId="5" r:id="rId4"/>
    <sheet name="AVI_P02" sheetId="6" r:id="rId5"/>
    <sheet name="AVI_P03" sheetId="7" r:id="rId6"/>
    <sheet name="AVI_P04" sheetId="8" r:id="rId7"/>
    <sheet name="AVI_P05" sheetId="9" r:id="rId8"/>
    <sheet name="AVI_P06" sheetId="10" r:id="rId9"/>
    <sheet name="AVI_P07" sheetId="11" r:id="rId10"/>
    <sheet name="AVI_P08" sheetId="12" r:id="rId11"/>
    <sheet name="AVI_P09" sheetId="13" r:id="rId12"/>
    <sheet name="Prova_Settings" sheetId="4" r:id="rId13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<sst xmlns="http://schemas.openxmlformats.org/spreadsheetml/2006/main" count="381" uniqueCount="180">
  <si>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</si>
  <si>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</si>
  <si>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</si>
  <si>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</si>
  <si>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</si>
  <si>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</si>
  <si>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</si>
  <si>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</si>
  <si>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</si>
  <si>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</si>
  <si>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</si>
  <si>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</si>
  <si>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</si>
  <si>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</si>
  <si>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</si>
  <si>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</si>
  <si>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</si>
  <si>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</si>
  <si>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</si>
  <si>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</si>
  <si>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</si>
  <si>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</si>
  <si>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</si>
  <si>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</si>
  <si>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</si>
  <si>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</si>
  <si>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</si>
  <si>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</si>
  <si>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</si>
  <si>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</si>
  <si>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</si>
  <si>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</si>
  <si>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</si>
  <si>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</si>
  <si>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</si>
  <si>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</si>
  <si>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</si>
  <si>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Relatiegegevens, Correspondentie, Contactpersoon &amp; Betrokkenen</t>
  </si>
  <si>
    <t>Projectspecifieke vragen</t>
  </si>
  <si>
    <t>ProjectInformatie &amp; Medeaanvragers</t>
  </si>
  <si>
    <t>Algemene kosten</t>
  </si>
  <si>
    <t>Algemene kosten &amp; niet-subsidiale kosten</t>
  </si>
  <si>
    <t>Projectkosten, projectfinanciering, andere subsidies &amp; terugverdientijd</t>
  </si>
  <si>
    <t>Bijlagen</t>
  </si>
  <si>
    <t>Samenvatting</t>
  </si>
  <si>
    <t>Ondertekening</t>
  </si>
  <si>
    <t>Ontvangstbevestiging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</si>
  <si>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</si>
  <si>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</si>
  <si>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</si>
  <si>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</si>
  <si>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</si>
  <si>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</si>
  <si>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</si>
  <si>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</si>
  <si>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</si>
  <si>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</si>
  <si>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Correspondentie</t>
  </si>
  <si>
    <t>textField</t>
  </si>
  <si>
    <t>setText</t>
  </si>
  <si>
    <t>errorMessage</t>
  </si>
  <si>
    <t>Wijzigen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</si>
  <si>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</si>
  <si>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</si>
  <si>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</si>
  <si>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</si>
  <si>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</si>
  <si>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</si>
  <si>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</si>
  <si>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</si>
  <si>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</si>
  <si>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</si>
  <si>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</si>
  <si>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</si>
  <si>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</si>
  <si>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</si>
  <si>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</si>
  <si>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</si>
  <si>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</si>
  <si>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</si>
  <si>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</si>
  <si>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</si>
  <si>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</si>
  <si>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</si>
  <si>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</si>
  <si>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</si>
  <si>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</si>
  <si>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</si>
  <si>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</si>
  <si>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</si>
  <si>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</si>
  <si>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</si>
  <si>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Projectinformatie</t>
  </si>
  <si>
    <t>Omschrijving van de projectactiviteit*</t>
  </si>
  <si>
    <t>Leverancier*</t>
  </si>
  <si>
    <t>Kosten (exclusief btw)*</t>
  </si>
  <si>
    <t>Btw-bedrag*</t>
  </si>
  <si>
    <t>Projectfinanciering</t>
  </si>
  <si>
    <t>Geschatte terugverdientijd</t>
  </si>
  <si>
    <t>jaarlijkse meeropbrengsten</t>
  </si>
  <si>
    <t>jaarlijkse besparingen</t>
  </si>
  <si>
    <t>Sub-script dat pagina 4 van AVI beschrijft.</t>
  </si>
  <si>
    <t>Sub-script dat pagina 3 van AVI beschrijft.</t>
  </si>
  <si>
    <t>Sub-script dat pagina 2 van AVI beschrijft.</t>
  </si>
  <si>
    <t>Sub-script dat pagina 1 van AVI beschrijft.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</si>
  <si>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</si>
  <si>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</si>
  <si>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</si>
  <si>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</si>
  <si>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</si>
  <si>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</si>
  <si>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</si>
  <si>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</si>
  <si>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</si>
  <si>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</si>
  <si>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</si>
  <si>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</si>
  <si>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AVI_P01</t>
  </si>
  <si>
    <t>AVI_P02</t>
  </si>
  <si>
    <t>AVI_P03</t>
  </si>
  <si>
    <t>AVI_P04</t>
  </si>
  <si>
    <t>AVI</t>
  </si>
  <si>
    <t>AVI 0.4.doc</t>
  </si>
  <si>
    <t>file:\\U:\DICTU\project_data\Programma UP-DR\000 Documentatie UP\03. Domeinen\01. Subsidies\01. Prototypische processen\02. Projectsubsidies (PROJSUB)\02. Aquima prototype\Verlening</t>
  </si>
  <si>
    <t>Erik Elsenbroek</t>
  </si>
  <si>
    <t>Start een nieuwe zaak</t>
  </si>
  <si>
    <t>AVI_P05</t>
  </si>
  <si>
    <t>AVI_P06</t>
  </si>
  <si>
    <t>AVI_P07</t>
  </si>
  <si>
    <t>AVI_P08</t>
  </si>
  <si>
    <t>AVI_P09</t>
  </si>
  <si>
    <t>{AVI_CorrespondentieEmail}</t>
  </si>
  <si>
    <t>{AVI_DatumPoststempel}</t>
  </si>
  <si>
    <t>Nee</t>
  </si>
  <si>
    <t>{AVI_Samenwerkingsverband}</t>
  </si>
  <si>
    <t>Sub-script dat pagina 5 van AVI beschrijft.</t>
  </si>
  <si>
    <t>{AVI_TerugverdientijdMeeropbrengsten}</t>
  </si>
  <si>
    <t>{AVI_TerugverdientijdBesparingen}</t>
  </si>
  <si>
    <t>{AVI_InbrengAnderen}</t>
  </si>
  <si>
    <t>{AVI_InbrengDerden}</t>
  </si>
  <si>
    <t>{AVI_EigenInbreng}</t>
  </si>
  <si>
    <t>{AVI_BtwBedrag}</t>
  </si>
  <si>
    <t>{AVI_KostenExclBtw}</t>
  </si>
  <si>
    <t>{AVI_KostenLeverancier}</t>
  </si>
  <si>
    <t>{AVI_ProjectOmschrijving}</t>
  </si>
  <si>
    <t>{AVI_Einddatum}</t>
  </si>
  <si>
    <t>{AVI_Startdatum}</t>
  </si>
  <si>
    <t>{AVI_Huisnummer}</t>
  </si>
  <si>
    <t>{AVI_Straat}</t>
  </si>
  <si>
    <t>{AVI_ProjectNaam}</t>
  </si>
  <si>
    <t>Sub-script dat pagina 6 van AVI beschrijft.</t>
  </si>
  <si>
    <t>Projectplan</t>
  </si>
  <si>
    <t>projectplannen\projectplan.pdf</t>
  </si>
  <si>
    <t>Bankverklaring</t>
  </si>
  <si>
    <t>bankverklaringen\bankverklaring.pdf</t>
  </si>
  <si>
    <t>Offerte</t>
  </si>
  <si>
    <t>offertes\offerte01.pdf</t>
  </si>
  <si>
    <t>Sub-script dat pagina 7 van AVI beschrijft.</t>
  </si>
  <si>
    <t>{AVI_VergunningVoorProjectNodig}</t>
  </si>
  <si>
    <t>Sub-script dat pagina 8 van AVI beschrijft.</t>
  </si>
  <si>
    <t>Sub-script dat pagina 9 van AVI beschrijft.</t>
  </si>
  <si>
    <t>Verzenden</t>
  </si>
  <si>
    <t>Vervolgacties</t>
  </si>
  <si>
    <t>Postcode*</t>
  </si>
  <si>
    <t>Plaats*</t>
  </si>
  <si>
    <t>Projectnaam*</t>
  </si>
  <si>
    <t>Straat*</t>
  </si>
  <si>
    <t>Huisnummer*</t>
  </si>
  <si>
    <t>{AVI_Postcode}</t>
  </si>
  <si>
    <t>{AVI_Plaats}</t>
  </si>
  <si>
    <t>Wat is de geplande startdatum?*</t>
  </si>
  <si>
    <t>Wat is de geplande einddatum?*</t>
  </si>
  <si>
    <t>Vraagt u aan namens een samenwerkingsverband?*</t>
  </si>
  <si>
    <t>Wat is de datum op de poststempel van het verleningsverzoek?*</t>
  </si>
  <si>
    <t>Eigen inbreng*</t>
  </si>
  <si>
    <t>Inbreng door derden*</t>
  </si>
  <si>
    <t>Andere subsidie*</t>
  </si>
  <si>
    <t>Heeft u vergunningen nodig om dit project uit te voeren?*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</si>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</sst>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1" xfId="0" applyFont="1" applyBorder="1" applyAlignment="1"/>
    <xf numFmtId="0" fontId="2" fillId="0" borderId="4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Verlen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4" t="s">
        <v>0</v>
      </c>
      <c r="B1" s="55"/>
      <c r="C1" s="55"/>
      <c r="D1" s="56"/>
    </row>
    <row r="2" spans="1:4" x14ac:dyDescent="0.2">
      <c r="A2" s="1" t="s">
        <v>1</v>
      </c>
      <c r="B2" s="57" t="s">
        <v>121</v>
      </c>
      <c r="C2" s="55"/>
      <c r="D2" s="56"/>
    </row>
    <row r="3" spans="1:4" x14ac:dyDescent="0.2">
      <c r="A3" s="1" t="s">
        <v>2</v>
      </c>
      <c r="B3" s="57" t="s">
        <v>3</v>
      </c>
      <c r="C3" s="55"/>
      <c r="D3" s="56"/>
    </row>
    <row r="4" spans="1:4" x14ac:dyDescent="0.2">
      <c r="A4" s="1" t="s">
        <v>4</v>
      </c>
      <c r="B4" s="57" t="s">
        <v>5</v>
      </c>
      <c r="C4" s="55"/>
      <c r="D4" s="56"/>
    </row>
    <row r="5" spans="1:4" x14ac:dyDescent="0.2">
      <c r="A5" s="1" t="s">
        <v>6</v>
      </c>
      <c r="B5" s="58">
        <v>42464</v>
      </c>
      <c r="C5" s="59"/>
      <c r="D5" s="60"/>
    </row>
    <row r="6" spans="1:4" x14ac:dyDescent="0.2">
      <c r="A6" s="1" t="s">
        <v>7</v>
      </c>
      <c r="B6" s="57" t="s">
        <v>8</v>
      </c>
      <c r="C6" s="55"/>
      <c r="D6" s="56"/>
    </row>
    <row r="7" spans="1:4" x14ac:dyDescent="0.2">
      <c r="A7" s="51"/>
      <c r="B7" s="52"/>
      <c r="C7" s="52"/>
      <c r="D7" s="52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122</v>
      </c>
      <c r="B10" s="50" t="s">
        <v>123</v>
      </c>
      <c r="C10" s="9" t="s">
        <v>12</v>
      </c>
      <c r="D10" s="10">
        <v>42101</v>
      </c>
    </row>
    <row r="11" spans="1:4" x14ac:dyDescent="0.2">
      <c r="A11" s="51"/>
      <c r="B11" s="52"/>
      <c r="C11" s="52"/>
      <c r="D11" s="52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51"/>
      <c r="B13" s="52"/>
      <c r="C13" s="52"/>
      <c r="D13" s="53"/>
    </row>
    <row r="14" spans="1:4" x14ac:dyDescent="0.2">
      <c r="A14" s="51"/>
      <c r="B14" s="52"/>
      <c r="C14" s="52"/>
      <c r="D14" s="52"/>
    </row>
    <row r="15" spans="1:4" x14ac:dyDescent="0.2">
      <c r="A15" s="54" t="s">
        <v>14</v>
      </c>
      <c r="B15" s="55"/>
      <c r="C15" s="55"/>
      <c r="D15" s="56"/>
    </row>
    <row r="16" spans="1:4" x14ac:dyDescent="0.2">
      <c r="A16" s="51"/>
      <c r="B16" s="52"/>
      <c r="C16" s="52"/>
      <c r="D16" s="53"/>
    </row>
    <row r="17" spans="1:4" x14ac:dyDescent="0.2">
      <c r="A17" s="51"/>
      <c r="B17" s="52"/>
      <c r="C17" s="52"/>
      <c r="D17" s="53"/>
    </row>
    <row r="18" spans="1:4" x14ac:dyDescent="0.2">
      <c r="A18" s="51"/>
      <c r="B18" s="52"/>
      <c r="C18" s="52"/>
      <c r="D18" s="53"/>
    </row>
    <row r="19" spans="1:4" x14ac:dyDescent="0.2">
      <c r="A19" s="51"/>
      <c r="B19" s="52"/>
      <c r="C19" s="52"/>
      <c r="D19" s="53"/>
    </row>
    <row r="20" spans="1:4" x14ac:dyDescent="0.2">
      <c r="A20" s="51"/>
      <c r="B20" s="52"/>
      <c r="C20" s="52"/>
      <c r="D20" s="53"/>
    </row>
    <row r="21" spans="1:4" x14ac:dyDescent="0.2">
      <c r="A21" s="51"/>
      <c r="B21" s="52"/>
      <c r="C21" s="52"/>
      <c r="D21" s="53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tabSelected="1" workbookViewId="0">
      <selection activeCell="K7" sqref="K7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28515625" style="11" bestFit="1" customWidth="1"/>
    <col min="7" max="7" width="22.710937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1" t="s">
        <v>15</v>
      </c>
      <c r="C1" s="62"/>
      <c r="D1" s="62"/>
      <c r="E1" s="62"/>
      <c r="F1" s="62"/>
      <c r="G1" s="63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16</v>
      </c>
      <c r="F2" s="18" t="s">
        <v>17</v>
      </c>
      <c r="G2" s="18" t="s">
        <v>18</v>
      </c>
      <c r="H2" s="18"/>
    </row>
    <row r="3" spans="1:8" x14ac:dyDescent="0.2">
      <c r="A3" s="19"/>
      <c r="B3" s="17" t="s">
        <v>19</v>
      </c>
      <c r="C3" s="15">
        <v>42464</v>
      </c>
      <c r="D3" s="12" t="s">
        <v>124</v>
      </c>
      <c r="E3" s="12"/>
      <c r="F3" s="13" t="str">
        <f ca="1">WEB_AVI_001!B2</f>
        <v>WEB_AVI_001</v>
      </c>
      <c r="G3" s="12" t="s">
        <v>125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32"/>
  <sheetViews>
    <sheetView topLeftCell="A7"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20</v>
      </c>
      <c r="B2" s="24" t="str">
        <f ca="1">SheetName(B2)</f>
        <v>WEB_AVI_001</v>
      </c>
      <c r="C2" s="70" t="s">
        <v>109</v>
      </c>
      <c r="D2" s="70"/>
      <c r="E2" s="70"/>
    </row>
    <row r="3" spans="1:5" ht="12.75" customHeight="1" x14ac:dyDescent="0.2"/>
    <row r="4" spans="1:5" ht="12.75" customHeight="1" x14ac:dyDescent="0.2">
      <c r="A4" s="42" t="s">
        <v>21</v>
      </c>
      <c r="B4" s="64" t="s">
        <v>32</v>
      </c>
      <c r="C4" s="64"/>
      <c r="D4" s="64"/>
      <c r="E4" s="64"/>
    </row>
    <row r="5" spans="1:5" ht="12.75" customHeight="1" x14ac:dyDescent="0.2">
      <c r="A5" s="42" t="s">
        <v>22</v>
      </c>
      <c r="B5" s="64" t="s">
        <v>33</v>
      </c>
      <c r="C5" s="64"/>
      <c r="D5" s="64"/>
      <c r="E5" s="64"/>
    </row>
    <row r="6" spans="1:5" ht="12.75" customHeight="1" x14ac:dyDescent="0.2">
      <c r="A6" s="42" t="s">
        <v>23</v>
      </c>
      <c r="B6" s="64" t="s">
        <v>34</v>
      </c>
      <c r="C6" s="64"/>
      <c r="D6" s="64"/>
      <c r="E6" s="64"/>
    </row>
    <row r="7" spans="1:5" ht="12.75" customHeight="1" x14ac:dyDescent="0.2">
      <c r="A7" s="42" t="s">
        <v>24</v>
      </c>
      <c r="B7" s="64" t="s">
        <v>35</v>
      </c>
      <c r="C7" s="64"/>
      <c r="D7" s="64"/>
      <c r="E7" s="64"/>
    </row>
    <row r="8" spans="1:5" ht="12.75" customHeight="1" x14ac:dyDescent="0.2">
      <c r="A8" s="42" t="s">
        <v>25</v>
      </c>
      <c r="B8" s="64" t="s">
        <v>36</v>
      </c>
      <c r="C8" s="64"/>
      <c r="D8" s="64"/>
      <c r="E8" s="64"/>
    </row>
    <row r="9" spans="1:5" ht="12.75" customHeight="1" x14ac:dyDescent="0.2"/>
    <row r="10" spans="1:5" ht="12.75" customHeight="1" x14ac:dyDescent="0.2">
      <c r="A10" s="41" t="s">
        <v>26</v>
      </c>
      <c r="B10" s="27" t="s">
        <v>72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27</v>
      </c>
    </row>
    <row r="14" spans="1:5" ht="12.75" customHeight="1" x14ac:dyDescent="0.2">
      <c r="A14" s="45" t="s">
        <v>28</v>
      </c>
      <c r="B14" s="65" t="s">
        <v>29</v>
      </c>
      <c r="C14" s="65"/>
      <c r="D14" s="65"/>
      <c r="E14" s="65"/>
    </row>
    <row r="15" spans="1:5" ht="12.75" customHeight="1" x14ac:dyDescent="0.2">
      <c r="A15" s="46" t="s">
        <v>30</v>
      </c>
      <c r="B15" s="64"/>
      <c r="C15" s="64"/>
      <c r="D15" s="64"/>
      <c r="E15" s="64"/>
    </row>
    <row r="16" spans="1:5" ht="12.75" customHeight="1" x14ac:dyDescent="0.2">
      <c r="A16" s="48" t="s">
        <v>178</v>
      </c>
      <c r="B16" s="49" t="s">
        <v>179</v>
      </c>
      <c r="C16" s="49"/>
      <c r="D16" s="49"/>
      <c r="E16" s="49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31</v>
      </c>
    </row>
    <row r="20" spans="1:5" ht="12.75" customHeight="1" x14ac:dyDescent="0.2">
      <c r="A20" s="68" t="s">
        <v>115</v>
      </c>
      <c r="B20" s="69"/>
      <c r="C20" s="29" t="s">
        <v>116</v>
      </c>
      <c r="D20" s="29" t="s">
        <v>114</v>
      </c>
      <c r="E20" s="29" t="s">
        <v>29</v>
      </c>
    </row>
    <row r="21" spans="1:5" ht="12.75" customHeight="1" x14ac:dyDescent="0.2">
      <c r="A21" s="66"/>
      <c r="B21" s="67"/>
      <c r="C21" s="30" t="s">
        <v>117</v>
      </c>
      <c r="D21" s="30"/>
      <c r="E21" s="40" t="s">
        <v>37</v>
      </c>
    </row>
    <row r="22" spans="1:5" ht="12.75" customHeight="1" x14ac:dyDescent="0.2">
      <c r="A22" s="66"/>
      <c r="B22" s="67"/>
      <c r="C22" s="40" t="s">
        <v>118</v>
      </c>
      <c r="D22" s="30"/>
      <c r="E22" s="40" t="s">
        <v>38</v>
      </c>
    </row>
    <row r="23" spans="1:5" ht="12.75" customHeight="1" x14ac:dyDescent="0.2">
      <c r="A23" s="66"/>
      <c r="B23" s="67"/>
      <c r="C23" s="40" t="s">
        <v>119</v>
      </c>
      <c r="D23" s="30"/>
      <c r="E23" s="40" t="s">
        <v>39</v>
      </c>
    </row>
    <row r="24" spans="1:5" ht="12.75" customHeight="1" x14ac:dyDescent="0.2">
      <c r="A24" s="66"/>
      <c r="B24" s="67"/>
      <c r="C24" s="40" t="s">
        <v>120</v>
      </c>
      <c r="D24" s="30"/>
      <c r="E24" s="40" t="s">
        <v>41</v>
      </c>
    </row>
    <row r="25" spans="1:5" ht="12.75" customHeight="1" x14ac:dyDescent="0.2">
      <c r="A25" s="66"/>
      <c r="B25" s="67"/>
      <c r="C25" s="40" t="s">
        <v>126</v>
      </c>
      <c r="D25" s="30"/>
      <c r="E25" s="40" t="s">
        <v>42</v>
      </c>
    </row>
    <row r="26" spans="1:5" ht="12.75" customHeight="1" x14ac:dyDescent="0.2">
      <c r="A26" s="66"/>
      <c r="B26" s="67"/>
      <c r="C26" s="40" t="s">
        <v>127</v>
      </c>
      <c r="D26" s="30"/>
      <c r="E26" s="40" t="s">
        <v>43</v>
      </c>
    </row>
    <row r="27" spans="1:5" ht="12.75" customHeight="1" x14ac:dyDescent="0.2">
      <c r="A27" s="66"/>
      <c r="B27" s="67"/>
      <c r="C27" s="40" t="s">
        <v>128</v>
      </c>
      <c r="D27" s="30"/>
      <c r="E27" s="40" t="s">
        <v>44</v>
      </c>
    </row>
    <row r="28" spans="1:5" ht="12.75" customHeight="1" x14ac:dyDescent="0.2">
      <c r="A28" s="66"/>
      <c r="B28" s="67"/>
      <c r="C28" s="40" t="s">
        <v>129</v>
      </c>
      <c r="D28" s="30"/>
      <c r="E28" s="40" t="s">
        <v>45</v>
      </c>
    </row>
    <row r="29" spans="1:5" ht="12.75" customHeight="1" x14ac:dyDescent="0.2">
      <c r="A29" s="66"/>
      <c r="B29" s="67"/>
      <c r="C29" s="40" t="s">
        <v>130</v>
      </c>
      <c r="D29" s="30"/>
      <c r="E29" s="40" t="s">
        <v>46</v>
      </c>
    </row>
    <row r="30" spans="1:5" ht="12.75" customHeight="1" x14ac:dyDescent="0.2"/>
    <row r="31" spans="1:5" ht="12.75" customHeight="1" x14ac:dyDescent="0.2"/>
    <row r="32" spans="1:5" ht="12.75" customHeight="1" x14ac:dyDescent="0.2"/>
  </sheetData>
  <mergeCells count="18">
    <mergeCell ref="C2:E2"/>
    <mergeCell ref="B4:E4"/>
    <mergeCell ref="B5:E5"/>
    <mergeCell ref="B6:E6"/>
    <mergeCell ref="B7:E7"/>
    <mergeCell ref="B8:E8"/>
    <mergeCell ref="B14:E14"/>
    <mergeCell ref="B15:E15"/>
    <mergeCell ref="A29:B2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8"/>
  <sheetViews>
    <sheetView workbookViewId="0">
      <selection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69</v>
      </c>
      <c r="B2" s="71" t="s">
        <v>104</v>
      </c>
      <c r="C2" s="72"/>
      <c r="D2" s="72"/>
      <c r="E2" s="72"/>
      <c r="F2" s="73"/>
    </row>
    <row r="5" spans="1:6" x14ac:dyDescent="0.2">
      <c r="A5" s="29" t="s">
        <v>54</v>
      </c>
      <c r="B5" s="27" t="s">
        <v>57</v>
      </c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/>
      <c r="B7" s="39" t="s">
        <v>58</v>
      </c>
      <c r="C7" s="28">
        <v>1</v>
      </c>
      <c r="D7" s="39" t="s">
        <v>59</v>
      </c>
      <c r="E7" s="27" t="s">
        <v>131</v>
      </c>
      <c r="F7" s="27"/>
    </row>
    <row r="8" spans="1:6" x14ac:dyDescent="0.2">
      <c r="A8" s="27" t="s">
        <v>68</v>
      </c>
      <c r="B8" s="39" t="s">
        <v>62</v>
      </c>
      <c r="C8" s="28"/>
      <c r="D8" s="39" t="s">
        <v>63</v>
      </c>
      <c r="E8" s="27"/>
      <c r="F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8"/>
  <sheetViews>
    <sheetView workbookViewId="0">
      <selection activeCell="A7" sqref="A7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4" t="s">
        <v>69</v>
      </c>
      <c r="B2" s="71" t="s">
        <v>103</v>
      </c>
      <c r="C2" s="72"/>
      <c r="D2" s="72"/>
      <c r="E2" s="72"/>
      <c r="F2" s="73"/>
    </row>
    <row r="5" spans="1:6" x14ac:dyDescent="0.2">
      <c r="A5" s="26" t="s">
        <v>54</v>
      </c>
      <c r="B5" s="27"/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 t="s">
        <v>173</v>
      </c>
      <c r="B7" s="39" t="s">
        <v>58</v>
      </c>
      <c r="C7" s="28"/>
      <c r="D7" s="39" t="s">
        <v>59</v>
      </c>
      <c r="E7" s="27" t="s">
        <v>132</v>
      </c>
      <c r="F7" s="27"/>
    </row>
    <row r="8" spans="1:6" x14ac:dyDescent="0.2">
      <c r="A8" s="27" t="s">
        <v>68</v>
      </c>
      <c r="B8" s="39" t="s">
        <v>62</v>
      </c>
      <c r="C8" s="28"/>
      <c r="D8" s="39" t="s">
        <v>63</v>
      </c>
      <c r="E8" s="27"/>
      <c r="F8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28"/>
  <sheetViews>
    <sheetView workbookViewId="0">
      <selection activeCell="B9" sqref="B9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30.42578125" style="11" bestFit="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69</v>
      </c>
      <c r="B2" s="71" t="s">
        <v>102</v>
      </c>
      <c r="C2" s="72"/>
      <c r="D2" s="72"/>
      <c r="E2" s="72"/>
      <c r="F2" s="73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54</v>
      </c>
      <c r="B5" s="27" t="s">
        <v>92</v>
      </c>
    </row>
    <row r="6" spans="1:6" ht="12.75" customHeight="1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ht="12.75" customHeight="1" x14ac:dyDescent="0.2">
      <c r="A7" s="27" t="s">
        <v>165</v>
      </c>
      <c r="B7" s="39" t="s">
        <v>58</v>
      </c>
      <c r="C7" s="28"/>
      <c r="D7" s="39" t="s">
        <v>59</v>
      </c>
      <c r="E7" s="27" t="s">
        <v>149</v>
      </c>
      <c r="F7" s="27"/>
    </row>
    <row r="8" spans="1:6" ht="12.75" customHeight="1" x14ac:dyDescent="0.2">
      <c r="A8" s="27" t="s">
        <v>166</v>
      </c>
      <c r="B8" s="39" t="s">
        <v>58</v>
      </c>
      <c r="C8" s="28"/>
      <c r="D8" s="39" t="s">
        <v>59</v>
      </c>
      <c r="E8" s="27" t="s">
        <v>148</v>
      </c>
      <c r="F8" s="27"/>
    </row>
    <row r="9" spans="1:6" ht="12.75" customHeight="1" x14ac:dyDescent="0.2">
      <c r="A9" s="27" t="s">
        <v>167</v>
      </c>
      <c r="B9" s="39" t="s">
        <v>62</v>
      </c>
      <c r="C9" s="28"/>
      <c r="D9" s="39" t="s">
        <v>63</v>
      </c>
      <c r="E9" s="27" t="s">
        <v>147</v>
      </c>
      <c r="F9" s="27"/>
    </row>
    <row r="10" spans="1:6" ht="12.75" customHeight="1" x14ac:dyDescent="0.2">
      <c r="A10" s="27" t="s">
        <v>163</v>
      </c>
      <c r="B10" s="39" t="s">
        <v>62</v>
      </c>
      <c r="C10" s="28"/>
      <c r="D10" s="39" t="s">
        <v>63</v>
      </c>
      <c r="E10" s="27" t="s">
        <v>168</v>
      </c>
      <c r="F10" s="27"/>
    </row>
    <row r="11" spans="1:6" ht="12.75" customHeight="1" x14ac:dyDescent="0.2">
      <c r="A11" s="27" t="s">
        <v>164</v>
      </c>
      <c r="B11" s="39" t="s">
        <v>58</v>
      </c>
      <c r="C11" s="28"/>
      <c r="D11" s="39" t="s">
        <v>59</v>
      </c>
      <c r="E11" s="27" t="s">
        <v>169</v>
      </c>
      <c r="F11" s="27"/>
    </row>
    <row r="12" spans="1:6" ht="12.75" customHeight="1" x14ac:dyDescent="0.2">
      <c r="A12" s="27" t="s">
        <v>170</v>
      </c>
      <c r="B12" s="39" t="s">
        <v>62</v>
      </c>
      <c r="C12" s="28"/>
      <c r="D12" s="39" t="s">
        <v>63</v>
      </c>
      <c r="E12" s="27" t="s">
        <v>146</v>
      </c>
      <c r="F12" s="27"/>
    </row>
    <row r="13" spans="1:6" ht="12.75" customHeight="1" x14ac:dyDescent="0.2">
      <c r="A13" s="27" t="s">
        <v>171</v>
      </c>
      <c r="B13" s="39" t="s">
        <v>58</v>
      </c>
      <c r="C13" s="28"/>
      <c r="D13" s="39" t="s">
        <v>56</v>
      </c>
      <c r="E13" s="27" t="s">
        <v>145</v>
      </c>
      <c r="F13" s="27"/>
    </row>
    <row r="14" spans="1:6" ht="12.75" customHeight="1" x14ac:dyDescent="0.2"/>
    <row r="15" spans="1:6" ht="12.75" customHeight="1" x14ac:dyDescent="0.2"/>
    <row r="16" spans="1:6" ht="12.75" customHeight="1" x14ac:dyDescent="0.2">
      <c r="A16" s="29" t="s">
        <v>54</v>
      </c>
      <c r="B16" s="27"/>
    </row>
    <row r="17" spans="1:6" ht="12.75" customHeight="1" x14ac:dyDescent="0.2">
      <c r="A17" s="29" t="s">
        <v>111</v>
      </c>
      <c r="B17" s="29" t="s">
        <v>110</v>
      </c>
      <c r="C17" s="29" t="s">
        <v>112</v>
      </c>
      <c r="D17" s="29" t="s">
        <v>113</v>
      </c>
      <c r="E17" s="29" t="s">
        <v>114</v>
      </c>
      <c r="F17" s="29" t="s">
        <v>29</v>
      </c>
    </row>
    <row r="18" spans="1:6" ht="12.75" customHeight="1" x14ac:dyDescent="0.2">
      <c r="A18" s="27" t="s">
        <v>172</v>
      </c>
      <c r="B18" s="39" t="s">
        <v>65</v>
      </c>
      <c r="C18" s="28"/>
      <c r="D18" s="39" t="s">
        <v>66</v>
      </c>
      <c r="E18" s="27" t="s">
        <v>134</v>
      </c>
      <c r="F18" s="27" t="s">
        <v>133</v>
      </c>
    </row>
    <row r="19" spans="1:6" ht="12.75" customHeight="1" x14ac:dyDescent="0.2">
      <c r="A19" s="27" t="s">
        <v>68</v>
      </c>
      <c r="B19" s="39" t="s">
        <v>62</v>
      </c>
      <c r="C19" s="28"/>
      <c r="D19" s="39" t="s">
        <v>63</v>
      </c>
      <c r="E19" s="27"/>
      <c r="F19" s="27"/>
    </row>
    <row r="20" spans="1:6" ht="12.75" customHeight="1" x14ac:dyDescent="0.2"/>
    <row r="21" spans="1:6" ht="12.75" customHeight="1" x14ac:dyDescent="0.2"/>
    <row r="22" spans="1:6" ht="12.75" customHeight="1" x14ac:dyDescent="0.2"/>
    <row r="23" spans="1:6" ht="12.75" customHeight="1" x14ac:dyDescent="0.2"/>
    <row r="24" spans="1:6" ht="12.75" customHeight="1" x14ac:dyDescent="0.2"/>
    <row r="25" spans="1:6" ht="12.75" customHeight="1" x14ac:dyDescent="0.2"/>
    <row r="26" spans="1:6" ht="12.75" customHeight="1" x14ac:dyDescent="0.2"/>
    <row r="27" spans="1:6" ht="12.75" customHeight="1" x14ac:dyDescent="0.2"/>
    <row r="28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8:B19 B7:B13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8:D19 D7:D13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8"/>
  <sheetViews>
    <sheetView topLeftCell="A8" zoomScaleNormal="100" workbookViewId="0">
      <selection activeCell="A17" sqref="A17:XFD17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69</v>
      </c>
      <c r="B2" s="71" t="s">
        <v>101</v>
      </c>
      <c r="C2" s="72"/>
      <c r="D2" s="72"/>
      <c r="E2" s="72"/>
      <c r="F2" s="73"/>
    </row>
    <row r="5" spans="1:6" x14ac:dyDescent="0.2">
      <c r="A5" s="29" t="s">
        <v>54</v>
      </c>
      <c r="B5" s="27" t="s">
        <v>40</v>
      </c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 t="s">
        <v>61</v>
      </c>
      <c r="B7" s="39" t="s">
        <v>62</v>
      </c>
      <c r="C7" s="28"/>
      <c r="D7" s="39" t="s">
        <v>63</v>
      </c>
      <c r="E7" s="27"/>
      <c r="F7" s="27"/>
    </row>
    <row r="10" spans="1:6" x14ac:dyDescent="0.2">
      <c r="A10" s="29" t="s">
        <v>54</v>
      </c>
      <c r="B10" s="27" t="s">
        <v>40</v>
      </c>
    </row>
    <row r="11" spans="1:6" x14ac:dyDescent="0.2">
      <c r="A11" s="29" t="s">
        <v>111</v>
      </c>
      <c r="B11" s="29" t="s">
        <v>110</v>
      </c>
      <c r="C11" s="29" t="s">
        <v>112</v>
      </c>
      <c r="D11" s="29" t="s">
        <v>113</v>
      </c>
      <c r="E11" s="29" t="s">
        <v>114</v>
      </c>
      <c r="F11" s="29" t="s">
        <v>29</v>
      </c>
    </row>
    <row r="12" spans="1:6" x14ac:dyDescent="0.2">
      <c r="A12" s="27" t="s">
        <v>61</v>
      </c>
      <c r="B12" s="39" t="s">
        <v>62</v>
      </c>
      <c r="C12" s="28"/>
      <c r="D12" s="39" t="s">
        <v>63</v>
      </c>
      <c r="E12" s="27"/>
      <c r="F12" s="27"/>
    </row>
    <row r="13" spans="1:6" x14ac:dyDescent="0.2">
      <c r="A13" s="27" t="s">
        <v>93</v>
      </c>
      <c r="B13" s="39" t="s">
        <v>58</v>
      </c>
      <c r="C13" s="28"/>
      <c r="D13" s="39" t="s">
        <v>59</v>
      </c>
      <c r="E13" s="27" t="s">
        <v>144</v>
      </c>
      <c r="F13" s="27"/>
    </row>
    <row r="14" spans="1:6" x14ac:dyDescent="0.2">
      <c r="A14" s="27" t="s">
        <v>94</v>
      </c>
      <c r="B14" s="39" t="s">
        <v>58</v>
      </c>
      <c r="C14" s="28"/>
      <c r="D14" s="39" t="s">
        <v>59</v>
      </c>
      <c r="E14" s="27" t="s">
        <v>143</v>
      </c>
      <c r="F14" s="27"/>
    </row>
    <row r="15" spans="1:6" x14ac:dyDescent="0.2">
      <c r="A15" s="27" t="s">
        <v>95</v>
      </c>
      <c r="B15" s="39" t="s">
        <v>58</v>
      </c>
      <c r="C15" s="28"/>
      <c r="D15" s="39" t="s">
        <v>59</v>
      </c>
      <c r="E15" s="27" t="s">
        <v>142</v>
      </c>
      <c r="F15" s="27"/>
    </row>
    <row r="16" spans="1:6" x14ac:dyDescent="0.2">
      <c r="A16" s="27" t="s">
        <v>96</v>
      </c>
      <c r="B16" s="39" t="s">
        <v>58</v>
      </c>
      <c r="C16" s="28"/>
      <c r="D16" s="39" t="s">
        <v>63</v>
      </c>
      <c r="E16" s="27" t="s">
        <v>141</v>
      </c>
      <c r="F16" s="27"/>
    </row>
    <row r="17" spans="1:6" x14ac:dyDescent="0.2">
      <c r="A17" s="27" t="s">
        <v>68</v>
      </c>
      <c r="B17" s="39" t="s">
        <v>62</v>
      </c>
      <c r="C17" s="28"/>
      <c r="D17" s="39" t="s">
        <v>63</v>
      </c>
      <c r="E17" s="27"/>
      <c r="F17" s="27"/>
    </row>
    <row r="18" spans="1:6" x14ac:dyDescent="0.2">
      <c r="A18" s="27" t="s">
        <v>68</v>
      </c>
      <c r="B18" s="39" t="s">
        <v>62</v>
      </c>
      <c r="C18" s="28"/>
      <c r="D18" s="39" t="s">
        <v>63</v>
      </c>
      <c r="E18" s="27"/>
      <c r="F1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 B12:B1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 D12:D1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F16"/>
  <sheetViews>
    <sheetView zoomScaleNormal="100" workbookViewId="0">
      <selection activeCell="E14" sqref="E14:E15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69</v>
      </c>
      <c r="B2" s="71" t="s">
        <v>135</v>
      </c>
      <c r="C2" s="72"/>
      <c r="D2" s="72"/>
      <c r="E2" s="72"/>
      <c r="F2" s="73"/>
    </row>
    <row r="5" spans="1:6" x14ac:dyDescent="0.2">
      <c r="A5" s="29" t="s">
        <v>54</v>
      </c>
      <c r="B5" s="27" t="s">
        <v>97</v>
      </c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 t="s">
        <v>174</v>
      </c>
      <c r="B7" s="39" t="s">
        <v>58</v>
      </c>
      <c r="C7" s="28"/>
      <c r="D7" s="39" t="s">
        <v>59</v>
      </c>
      <c r="E7" s="27" t="s">
        <v>140</v>
      </c>
      <c r="F7" s="27">
        <v>3000000</v>
      </c>
    </row>
    <row r="8" spans="1:6" x14ac:dyDescent="0.2">
      <c r="A8" s="27" t="s">
        <v>175</v>
      </c>
      <c r="B8" s="39" t="s">
        <v>58</v>
      </c>
      <c r="C8" s="28"/>
      <c r="D8" s="39" t="s">
        <v>59</v>
      </c>
      <c r="E8" s="27" t="s">
        <v>139</v>
      </c>
      <c r="F8" s="27">
        <v>0</v>
      </c>
    </row>
    <row r="9" spans="1:6" x14ac:dyDescent="0.2">
      <c r="A9" s="27" t="s">
        <v>176</v>
      </c>
      <c r="B9" s="39" t="s">
        <v>58</v>
      </c>
      <c r="C9" s="28"/>
      <c r="D9" s="39" t="s">
        <v>59</v>
      </c>
      <c r="E9" s="27" t="s">
        <v>138</v>
      </c>
      <c r="F9" s="27">
        <v>0</v>
      </c>
    </row>
    <row r="12" spans="1:6" x14ac:dyDescent="0.2">
      <c r="A12" s="29" t="s">
        <v>54</v>
      </c>
      <c r="B12" s="27" t="s">
        <v>98</v>
      </c>
    </row>
    <row r="13" spans="1:6" x14ac:dyDescent="0.2">
      <c r="A13" s="29" t="s">
        <v>111</v>
      </c>
      <c r="B13" s="29" t="s">
        <v>110</v>
      </c>
      <c r="C13" s="29" t="s">
        <v>112</v>
      </c>
      <c r="D13" s="29" t="s">
        <v>113</v>
      </c>
      <c r="E13" s="29" t="s">
        <v>114</v>
      </c>
      <c r="F13" s="29" t="s">
        <v>29</v>
      </c>
    </row>
    <row r="14" spans="1:6" x14ac:dyDescent="0.2">
      <c r="A14" s="27" t="s">
        <v>99</v>
      </c>
      <c r="B14" s="39" t="s">
        <v>58</v>
      </c>
      <c r="C14" s="28"/>
      <c r="D14" s="39" t="s">
        <v>59</v>
      </c>
      <c r="E14" s="27" t="s">
        <v>136</v>
      </c>
      <c r="F14" s="27">
        <v>1</v>
      </c>
    </row>
    <row r="15" spans="1:6" x14ac:dyDescent="0.2">
      <c r="A15" s="27" t="s">
        <v>100</v>
      </c>
      <c r="B15" s="39" t="s">
        <v>58</v>
      </c>
      <c r="C15" s="28"/>
      <c r="D15" s="39" t="s">
        <v>59</v>
      </c>
      <c r="E15" s="27" t="s">
        <v>137</v>
      </c>
      <c r="F15" s="27">
        <v>2</v>
      </c>
    </row>
    <row r="16" spans="1:6" x14ac:dyDescent="0.2">
      <c r="A16" s="27" t="s">
        <v>68</v>
      </c>
      <c r="B16" s="39" t="s">
        <v>62</v>
      </c>
      <c r="C16" s="28"/>
      <c r="D16" s="39" t="s">
        <v>63</v>
      </c>
      <c r="E16" s="27"/>
      <c r="F16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14:D16 D7:D9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14:B16 B7:B9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2:F10"/>
  <sheetViews>
    <sheetView zoomScaleNormal="100" workbookViewId="0">
      <selection activeCell="F7" sqref="F7:F9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69</v>
      </c>
      <c r="B2" s="71" t="s">
        <v>150</v>
      </c>
      <c r="C2" s="72"/>
      <c r="D2" s="72"/>
      <c r="E2" s="72"/>
      <c r="F2" s="73"/>
    </row>
    <row r="5" spans="1:6" x14ac:dyDescent="0.2">
      <c r="A5" s="29" t="s">
        <v>54</v>
      </c>
      <c r="B5" s="27" t="s">
        <v>43</v>
      </c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 t="s">
        <v>151</v>
      </c>
      <c r="B7" s="39" t="s">
        <v>86</v>
      </c>
      <c r="C7" s="28"/>
      <c r="D7" s="39" t="s">
        <v>86</v>
      </c>
      <c r="E7" s="27" t="s">
        <v>152</v>
      </c>
      <c r="F7" s="27"/>
    </row>
    <row r="8" spans="1:6" x14ac:dyDescent="0.2">
      <c r="A8" s="27" t="s">
        <v>153</v>
      </c>
      <c r="B8" s="39" t="s">
        <v>86</v>
      </c>
      <c r="C8" s="28"/>
      <c r="D8" s="39" t="s">
        <v>86</v>
      </c>
      <c r="E8" s="27" t="s">
        <v>154</v>
      </c>
      <c r="F8" s="27"/>
    </row>
    <row r="9" spans="1:6" x14ac:dyDescent="0.2">
      <c r="A9" s="27" t="s">
        <v>155</v>
      </c>
      <c r="B9" s="39" t="s">
        <v>86</v>
      </c>
      <c r="C9" s="28"/>
      <c r="D9" s="39" t="s">
        <v>86</v>
      </c>
      <c r="E9" s="27" t="s">
        <v>156</v>
      </c>
      <c r="F9" s="27"/>
    </row>
    <row r="10" spans="1:6" x14ac:dyDescent="0.2">
      <c r="A10" s="27" t="s">
        <v>68</v>
      </c>
      <c r="B10" s="39" t="s">
        <v>62</v>
      </c>
      <c r="C10" s="28"/>
      <c r="D10" s="39" t="s">
        <v>63</v>
      </c>
      <c r="E10" s="27"/>
      <c r="F10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F8"/>
  <sheetViews>
    <sheetView zoomScaleNormal="100" workbookViewId="0">
      <selection activeCell="E7" sqref="E7"/>
    </sheetView>
  </sheetViews>
  <sheetFormatPr defaultRowHeight="12.75" x14ac:dyDescent="0.2"/>
  <cols>
    <col min="1" max="1" width="57.85546875" style="11" bestFit="1" customWidth="1"/>
    <col min="2" max="2" width="13.7109375" style="11" bestFit="1" customWidth="1"/>
    <col min="3" max="3" width="4.42578125" style="11" bestFit="1" customWidth="1"/>
    <col min="4" max="4" width="7.5703125" style="11" bestFit="1" customWidth="1"/>
    <col min="5" max="5" width="35.140625" style="11" bestFit="1" customWidth="1"/>
    <col min="6" max="6" width="12.5703125" style="11" bestFit="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69</v>
      </c>
      <c r="B2" s="71" t="s">
        <v>157</v>
      </c>
      <c r="C2" s="72"/>
      <c r="D2" s="72"/>
      <c r="E2" s="72"/>
      <c r="F2" s="73"/>
    </row>
    <row r="5" spans="1:6" x14ac:dyDescent="0.2">
      <c r="A5" s="29" t="s">
        <v>54</v>
      </c>
      <c r="B5" s="27"/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 t="s">
        <v>177</v>
      </c>
      <c r="B7" s="39" t="s">
        <v>65</v>
      </c>
      <c r="C7" s="28"/>
      <c r="D7" s="39" t="s">
        <v>66</v>
      </c>
      <c r="E7" s="27" t="s">
        <v>158</v>
      </c>
      <c r="F7" s="27" t="s">
        <v>133</v>
      </c>
    </row>
    <row r="8" spans="1:6" x14ac:dyDescent="0.2">
      <c r="A8" s="27" t="s">
        <v>68</v>
      </c>
      <c r="B8" s="39" t="s">
        <v>62</v>
      </c>
      <c r="C8" s="28"/>
      <c r="D8" s="39" t="s">
        <v>63</v>
      </c>
      <c r="E8" s="27"/>
      <c r="F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2:F7"/>
  <sheetViews>
    <sheetView zoomScaleNormal="100" workbookViewId="0">
      <selection sqref="A1:XFD1048576"/>
    </sheetView>
  </sheetViews>
  <sheetFormatPr defaultRowHeight="12.75" x14ac:dyDescent="0.2"/>
  <cols>
    <col min="1" max="1" width="16" style="11" bestFit="1" customWidth="1"/>
    <col min="2" max="2" width="10.42578125" style="11" bestFit="1" customWidth="1"/>
    <col min="3" max="3" width="4.42578125" style="11" bestFit="1" customWidth="1"/>
    <col min="4" max="4" width="6.5703125" style="11" bestFit="1" customWidth="1"/>
    <col min="5" max="5" width="12.28515625" style="11" bestFit="1" customWidth="1"/>
    <col min="6" max="6" width="12.5703125" style="11" bestFit="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69</v>
      </c>
      <c r="B2" s="71" t="s">
        <v>159</v>
      </c>
      <c r="C2" s="72"/>
      <c r="D2" s="72"/>
      <c r="E2" s="72"/>
      <c r="F2" s="73"/>
    </row>
    <row r="5" spans="1:6" x14ac:dyDescent="0.2">
      <c r="A5" s="29" t="s">
        <v>54</v>
      </c>
      <c r="B5" s="27"/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 t="s">
        <v>68</v>
      </c>
      <c r="B7" s="39" t="s">
        <v>62</v>
      </c>
      <c r="C7" s="28"/>
      <c r="D7" s="39" t="s">
        <v>63</v>
      </c>
      <c r="E7" s="27"/>
      <c r="F7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2:F9"/>
  <sheetViews>
    <sheetView zoomScaleNormal="100" workbookViewId="0">
      <selection activeCell="O3" sqref="O3"/>
    </sheetView>
  </sheetViews>
  <sheetFormatPr defaultRowHeight="12.75" x14ac:dyDescent="0.2"/>
  <cols>
    <col min="1" max="1" width="16" style="11" bestFit="1" customWidth="1"/>
    <col min="2" max="2" width="10.42578125" style="11" bestFit="1" customWidth="1"/>
    <col min="3" max="3" width="4.42578125" style="11" bestFit="1" customWidth="1"/>
    <col min="4" max="4" width="6.5703125" style="11" bestFit="1" customWidth="1"/>
    <col min="5" max="5" width="12.28515625" style="11" bestFit="1" customWidth="1"/>
    <col min="6" max="6" width="12.5703125" style="11" bestFit="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69</v>
      </c>
      <c r="B2" s="71" t="s">
        <v>160</v>
      </c>
      <c r="C2" s="72"/>
      <c r="D2" s="72"/>
      <c r="E2" s="72"/>
      <c r="F2" s="73"/>
    </row>
    <row r="5" spans="1:6" x14ac:dyDescent="0.2">
      <c r="A5" s="29" t="s">
        <v>54</v>
      </c>
      <c r="B5" s="27"/>
    </row>
    <row r="6" spans="1:6" x14ac:dyDescent="0.2">
      <c r="A6" s="29" t="s">
        <v>111</v>
      </c>
      <c r="B6" s="29" t="s">
        <v>110</v>
      </c>
      <c r="C6" s="29" t="s">
        <v>112</v>
      </c>
      <c r="D6" s="29" t="s">
        <v>113</v>
      </c>
      <c r="E6" s="29" t="s">
        <v>114</v>
      </c>
      <c r="F6" s="29" t="s">
        <v>29</v>
      </c>
    </row>
    <row r="7" spans="1:6" x14ac:dyDescent="0.2">
      <c r="A7" s="27" t="s">
        <v>161</v>
      </c>
      <c r="B7" s="39" t="s">
        <v>62</v>
      </c>
      <c r="C7" s="28"/>
      <c r="D7" s="39" t="s">
        <v>63</v>
      </c>
      <c r="E7" s="27"/>
      <c r="F7" s="27"/>
    </row>
    <row r="8" spans="1:6" x14ac:dyDescent="0.2">
      <c r="A8" s="27" t="s">
        <v>68</v>
      </c>
      <c r="B8" s="39" t="s">
        <v>62</v>
      </c>
      <c r="C8" s="28"/>
      <c r="D8" s="39" t="s">
        <v>63</v>
      </c>
      <c r="E8" s="27"/>
      <c r="F8" s="27"/>
    </row>
    <row r="9" spans="1:6" x14ac:dyDescent="0.2">
      <c r="A9" s="27" t="s">
        <v>162</v>
      </c>
      <c r="B9" s="39" t="s">
        <v>62</v>
      </c>
      <c r="C9" s="28"/>
      <c r="D9" s="39" t="s">
        <v>63</v>
      </c>
      <c r="E9" s="27"/>
      <c r="F9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4" t="s">
        <v>47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6" t="s">
        <v>48</v>
      </c>
      <c r="C3" s="77"/>
      <c r="D3" s="77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7" t="s">
        <v>49</v>
      </c>
      <c r="C4" s="77"/>
      <c r="D4" s="77"/>
      <c r="E4" s="33"/>
      <c r="F4" s="35" t="s">
        <v>50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7" t="s">
        <v>51</v>
      </c>
      <c r="C5" s="77"/>
      <c r="D5" s="77"/>
      <c r="E5" s="33"/>
      <c r="F5" s="36" t="s">
        <v>52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7"/>
      <c r="C6" s="77"/>
      <c r="D6" s="77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105</v>
      </c>
      <c r="C8" s="37"/>
      <c r="D8" s="37" t="s">
        <v>106</v>
      </c>
      <c r="E8" s="37"/>
      <c r="F8" s="37" t="s">
        <v>107</v>
      </c>
      <c r="G8" s="37"/>
      <c r="H8" s="37" t="s">
        <v>108</v>
      </c>
      <c r="I8" s="37"/>
      <c r="J8" s="37" t="s">
        <v>53</v>
      </c>
      <c r="K8" s="37"/>
      <c r="L8" s="37" t="s">
        <v>53</v>
      </c>
      <c r="M8" s="37"/>
      <c r="N8" s="37" t="s">
        <v>53</v>
      </c>
      <c r="O8" s="37"/>
      <c r="P8" s="37" t="s">
        <v>53</v>
      </c>
      <c r="Q8" s="37"/>
      <c r="R8" s="37" t="s">
        <v>53</v>
      </c>
      <c r="S8" s="37"/>
      <c r="T8" s="37" t="s">
        <v>53</v>
      </c>
      <c r="U8" s="37"/>
      <c r="V8" s="37" t="s">
        <v>53</v>
      </c>
      <c r="W8" s="37"/>
      <c r="X8" s="37" t="s">
        <v>53</v>
      </c>
      <c r="Y8" s="26"/>
    </row>
    <row r="9" spans="1:25" x14ac:dyDescent="0.2">
      <c r="B9" s="38" t="s">
        <v>53</v>
      </c>
      <c r="D9" s="38" t="s">
        <v>53</v>
      </c>
      <c r="F9" s="38" t="s">
        <v>53</v>
      </c>
      <c r="H9" s="38" t="s">
        <v>53</v>
      </c>
      <c r="J9" s="38" t="s">
        <v>53</v>
      </c>
      <c r="L9" s="38" t="s">
        <v>53</v>
      </c>
      <c r="N9" s="38" t="s">
        <v>53</v>
      </c>
      <c r="P9" s="38" t="s">
        <v>53</v>
      </c>
      <c r="R9" s="38" t="s">
        <v>53</v>
      </c>
      <c r="T9" s="38" t="s">
        <v>53</v>
      </c>
      <c r="V9" s="38" t="s">
        <v>53</v>
      </c>
      <c r="X9" s="38" t="s">
        <v>53</v>
      </c>
    </row>
    <row r="10" spans="1:25" x14ac:dyDescent="0.2">
      <c r="B10" s="38" t="s">
        <v>70</v>
      </c>
      <c r="D10" s="38" t="s">
        <v>75</v>
      </c>
      <c r="F10" s="38" t="s">
        <v>87</v>
      </c>
      <c r="H10" s="38" t="s">
        <v>91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71</v>
      </c>
      <c r="D11" s="38" t="s">
        <v>62</v>
      </c>
      <c r="F11" s="38" t="s">
        <v>63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72</v>
      </c>
      <c r="D12" s="38" t="s">
        <v>76</v>
      </c>
      <c r="F12" s="38" t="s">
        <v>66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73</v>
      </c>
      <c r="D13" s="38" t="s">
        <v>77</v>
      </c>
      <c r="F13" s="38" t="s">
        <v>59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74</v>
      </c>
      <c r="D14" s="38" t="s">
        <v>78</v>
      </c>
      <c r="F14" s="38" t="s">
        <v>88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79</v>
      </c>
      <c r="F15" s="38" t="s">
        <v>89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80</v>
      </c>
      <c r="F16" s="38" t="s">
        <v>90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81</v>
      </c>
      <c r="F17" s="38" t="s">
        <v>56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82</v>
      </c>
      <c r="F18" s="38" t="s">
        <v>86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83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84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85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65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55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67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58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60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64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86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13</vt:i4>
      </vt:variant>
      <vt:variant>
        <vt:lpstr>Benoemde bereiken</vt:lpstr>
      </vt:variant>
      <vt:variant>
        <vt:i4>2</vt:i4>
      </vt:variant>
    </vt:vector>
  </HeadingPairs>
  <TitlesOfParts>
    <vt:vector size="15" baseType="lpstr">
      <vt:lpstr>Voorblad</vt:lpstr>
      <vt:lpstr>Revisies</vt:lpstr>
      <vt:lpstr>WEB_AVI_001</vt:lpstr>
      <vt:lpstr>AVI_P01</vt:lpstr>
      <vt:lpstr>AVI_P02</vt:lpstr>
      <vt:lpstr>AVI_P03</vt:lpstr>
      <vt:lpstr>AVI_P04</vt:lpstr>
      <vt:lpstr>AVI_P05</vt:lpstr>
      <vt:lpstr>AVI_P06</vt:lpstr>
      <vt:lpstr>AVI_P07</vt:lpstr>
      <vt:lpstr>AVI_P08</vt:lpstr>
      <vt:lpstr>AVI_P09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2016-04-18T10:02:50Z</dcterms:modified>
</cp:coreProperties>
</file>